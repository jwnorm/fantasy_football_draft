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wnorm/Documents/ncsu/or708/project/data/"/>
    </mc:Choice>
  </mc:AlternateContent>
  <xr:revisionPtr revIDLastSave="0" documentId="13_ncr:1_{2483F60C-6AA1-7245-BBB0-A5811B724FE5}" xr6:coauthVersionLast="47" xr6:coauthVersionMax="47" xr10:uidLastSave="{00000000-0000-0000-0000-000000000000}"/>
  <bookViews>
    <workbookView xWindow="0" yWindow="620" windowWidth="25700" windowHeight="26300" xr2:uid="{A8715163-A90E-EA4A-8BBB-2D375627B2BC}"/>
  </bookViews>
  <sheets>
    <sheet name="main" sheetId="1" r:id="rId1"/>
    <sheet name="byes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main!$A$1:$AH$209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9" i="1"/>
  <c r="AB120" i="1"/>
  <c r="AB121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C173" i="1" s="1"/>
  <c r="AB174" i="1"/>
  <c r="AB175" i="1"/>
  <c r="AB176" i="1"/>
  <c r="AB177" i="1"/>
  <c r="AB178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" i="1"/>
  <c r="AA9" i="1"/>
  <c r="AA13" i="1"/>
  <c r="AA17" i="1"/>
  <c r="AA21" i="1"/>
  <c r="AA25" i="1"/>
  <c r="AA29" i="1"/>
  <c r="AA33" i="1"/>
  <c r="AA37" i="1"/>
  <c r="AA41" i="1"/>
  <c r="AA45" i="1"/>
  <c r="AA49" i="1"/>
  <c r="AA53" i="1"/>
  <c r="AA57" i="1"/>
  <c r="AA61" i="1"/>
  <c r="AA65" i="1"/>
  <c r="AA69" i="1"/>
  <c r="AA73" i="1"/>
  <c r="AA77" i="1"/>
  <c r="AA81" i="1"/>
  <c r="AA85" i="1"/>
  <c r="AA89" i="1"/>
  <c r="AA93" i="1"/>
  <c r="AA97" i="1"/>
  <c r="AA101" i="1"/>
  <c r="AA105" i="1"/>
  <c r="AA109" i="1"/>
  <c r="AA113" i="1"/>
  <c r="AA117" i="1"/>
  <c r="AA121" i="1"/>
  <c r="AA125" i="1"/>
  <c r="AA129" i="1"/>
  <c r="AA133" i="1"/>
  <c r="AA137" i="1"/>
  <c r="AA141" i="1"/>
  <c r="AA145" i="1"/>
  <c r="AA149" i="1"/>
  <c r="AA153" i="1"/>
  <c r="AA157" i="1"/>
  <c r="AA161" i="1"/>
  <c r="AA165" i="1"/>
  <c r="AA169" i="1"/>
  <c r="AA173" i="1"/>
  <c r="AA177" i="1"/>
  <c r="AA181" i="1"/>
  <c r="AA185" i="1"/>
  <c r="AA189" i="1"/>
  <c r="AA193" i="1"/>
  <c r="AA197" i="1"/>
  <c r="AA201" i="1"/>
  <c r="AA205" i="1"/>
  <c r="AA209" i="1"/>
  <c r="AA5" i="1"/>
  <c r="D198" i="1" l="1" a="1"/>
  <c r="D198" i="1" s="1"/>
  <c r="F198" i="1" s="1"/>
  <c r="L198" i="1"/>
  <c r="S198" i="1" s="1"/>
  <c r="V198" i="1"/>
  <c r="W198" i="1"/>
  <c r="X198" i="1"/>
  <c r="Y198" i="1"/>
  <c r="Z198" i="1"/>
  <c r="D199" i="1" a="1"/>
  <c r="D199" i="1" s="1"/>
  <c r="L199" i="1"/>
  <c r="T199" i="1" s="1"/>
  <c r="V199" i="1"/>
  <c r="W199" i="1"/>
  <c r="X199" i="1"/>
  <c r="Y199" i="1"/>
  <c r="Z199" i="1"/>
  <c r="D200" i="1" a="1"/>
  <c r="D200" i="1" s="1"/>
  <c r="F200" i="1" s="1"/>
  <c r="L200" i="1"/>
  <c r="U200" i="1" s="1"/>
  <c r="V200" i="1"/>
  <c r="W200" i="1"/>
  <c r="X200" i="1"/>
  <c r="Y200" i="1"/>
  <c r="Z200" i="1"/>
  <c r="D196" i="1" a="1"/>
  <c r="D196" i="1" s="1"/>
  <c r="F196" i="1" s="1"/>
  <c r="L196" i="1"/>
  <c r="M196" i="1" s="1"/>
  <c r="V196" i="1"/>
  <c r="W196" i="1"/>
  <c r="X196" i="1"/>
  <c r="Y196" i="1"/>
  <c r="Z196" i="1"/>
  <c r="D192" i="1" a="1"/>
  <c r="L192" i="1"/>
  <c r="M192" i="1" s="1"/>
  <c r="V192" i="1"/>
  <c r="W192" i="1"/>
  <c r="X192" i="1"/>
  <c r="Y192" i="1"/>
  <c r="Z192" i="1"/>
  <c r="D193" i="1" a="1"/>
  <c r="D193" i="1" s="1"/>
  <c r="L193" i="1"/>
  <c r="S193" i="1" s="1"/>
  <c r="V193" i="1"/>
  <c r="W193" i="1"/>
  <c r="X193" i="1"/>
  <c r="Y193" i="1"/>
  <c r="Z193" i="1"/>
  <c r="D194" i="1" a="1"/>
  <c r="D194" i="1" s="1"/>
  <c r="F194" i="1" s="1"/>
  <c r="L194" i="1"/>
  <c r="M194" i="1" s="1"/>
  <c r="V194" i="1"/>
  <c r="W194" i="1"/>
  <c r="X194" i="1"/>
  <c r="Y194" i="1"/>
  <c r="Z194" i="1"/>
  <c r="D195" i="1" a="1"/>
  <c r="D195" i="1" s="1"/>
  <c r="L195" i="1"/>
  <c r="N195" i="1" s="1"/>
  <c r="V195" i="1"/>
  <c r="W195" i="1"/>
  <c r="X195" i="1"/>
  <c r="Y195" i="1"/>
  <c r="Z195" i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7" i="1" a="1"/>
  <c r="D197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" i="1" a="1"/>
  <c r="D2" i="1" s="1"/>
  <c r="L3" i="1"/>
  <c r="L4" i="1"/>
  <c r="L5" i="1"/>
  <c r="L6" i="1"/>
  <c r="L7" i="1"/>
  <c r="L8" i="1"/>
  <c r="L9" i="1"/>
  <c r="L10" i="1"/>
  <c r="U10" i="1" s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U35" i="1" s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Q48" i="1" s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U64" i="1" s="1"/>
  <c r="L65" i="1"/>
  <c r="M65" i="1" s="1"/>
  <c r="L66" i="1"/>
  <c r="L67" i="1"/>
  <c r="L68" i="1"/>
  <c r="L69" i="1"/>
  <c r="L70" i="1"/>
  <c r="N70" i="1" s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P96" i="1" s="1"/>
  <c r="L97" i="1"/>
  <c r="L98" i="1"/>
  <c r="L99" i="1"/>
  <c r="P99" i="1" s="1"/>
  <c r="L100" i="1"/>
  <c r="L101" i="1"/>
  <c r="L102" i="1"/>
  <c r="L103" i="1"/>
  <c r="L104" i="1"/>
  <c r="L105" i="1"/>
  <c r="M105" i="1" s="1"/>
  <c r="L106" i="1"/>
  <c r="P106" i="1" s="1"/>
  <c r="L107" i="1"/>
  <c r="L108" i="1"/>
  <c r="P108" i="1" s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M129" i="1" s="1"/>
  <c r="L130" i="1"/>
  <c r="S130" i="1" s="1"/>
  <c r="L131" i="1"/>
  <c r="L132" i="1"/>
  <c r="L133" i="1"/>
  <c r="Q133" i="1" s="1"/>
  <c r="L134" i="1"/>
  <c r="L135" i="1"/>
  <c r="L136" i="1"/>
  <c r="L137" i="1"/>
  <c r="L138" i="1"/>
  <c r="L139" i="1"/>
  <c r="L140" i="1"/>
  <c r="L141" i="1"/>
  <c r="T141" i="1" s="1"/>
  <c r="L142" i="1"/>
  <c r="L143" i="1"/>
  <c r="L144" i="1"/>
  <c r="P144" i="1" s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N158" i="1" s="1"/>
  <c r="L159" i="1"/>
  <c r="L160" i="1"/>
  <c r="O160" i="1" s="1"/>
  <c r="L161" i="1"/>
  <c r="Q161" i="1" s="1"/>
  <c r="L162" i="1"/>
  <c r="L163" i="1"/>
  <c r="L164" i="1"/>
  <c r="O164" i="1" s="1"/>
  <c r="L165" i="1"/>
  <c r="T165" i="1" s="1"/>
  <c r="L166" i="1"/>
  <c r="L167" i="1"/>
  <c r="L168" i="1"/>
  <c r="L169" i="1"/>
  <c r="L170" i="1"/>
  <c r="L171" i="1"/>
  <c r="L172" i="1"/>
  <c r="L173" i="1"/>
  <c r="Q173" i="1" s="1"/>
  <c r="L174" i="1"/>
  <c r="L175" i="1"/>
  <c r="L176" i="1"/>
  <c r="T176" i="1" s="1"/>
  <c r="L177" i="1"/>
  <c r="M177" i="1" s="1"/>
  <c r="L178" i="1"/>
  <c r="P178" i="1" s="1"/>
  <c r="L179" i="1"/>
  <c r="L180" i="1"/>
  <c r="O180" i="1" s="1"/>
  <c r="L181" i="1"/>
  <c r="L182" i="1"/>
  <c r="L183" i="1"/>
  <c r="L184" i="1"/>
  <c r="P184" i="1" s="1"/>
  <c r="L185" i="1"/>
  <c r="L186" i="1"/>
  <c r="L187" i="1"/>
  <c r="L188" i="1"/>
  <c r="L189" i="1"/>
  <c r="L190" i="1"/>
  <c r="L191" i="1"/>
  <c r="L197" i="1"/>
  <c r="L201" i="1"/>
  <c r="Q201" i="1" s="1"/>
  <c r="L202" i="1"/>
  <c r="U202" i="1" s="1"/>
  <c r="L203" i="1"/>
  <c r="L204" i="1"/>
  <c r="M204" i="1" s="1"/>
  <c r="L205" i="1"/>
  <c r="L206" i="1"/>
  <c r="L207" i="1"/>
  <c r="M207" i="1" s="1"/>
  <c r="L208" i="1"/>
  <c r="O208" i="1" s="1"/>
  <c r="L209" i="1"/>
  <c r="M209" i="1" s="1"/>
  <c r="L2" i="1"/>
  <c r="Q2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7" i="1"/>
  <c r="V201" i="1"/>
  <c r="V202" i="1"/>
  <c r="V203" i="1"/>
  <c r="V204" i="1"/>
  <c r="V205" i="1"/>
  <c r="V206" i="1"/>
  <c r="V207" i="1"/>
  <c r="V208" i="1"/>
  <c r="V209" i="1"/>
  <c r="W3" i="1"/>
  <c r="X3" i="1"/>
  <c r="Y3" i="1"/>
  <c r="Z3" i="1"/>
  <c r="W4" i="1"/>
  <c r="X4" i="1"/>
  <c r="Y4" i="1"/>
  <c r="Z4" i="1"/>
  <c r="W5" i="1"/>
  <c r="X5" i="1"/>
  <c r="Y5" i="1"/>
  <c r="Z5" i="1"/>
  <c r="W6" i="1"/>
  <c r="X6" i="1"/>
  <c r="Y6" i="1"/>
  <c r="Z6" i="1"/>
  <c r="W7" i="1"/>
  <c r="X7" i="1"/>
  <c r="Y7" i="1"/>
  <c r="Z7" i="1"/>
  <c r="W8" i="1"/>
  <c r="X8" i="1"/>
  <c r="Y8" i="1"/>
  <c r="Z8" i="1"/>
  <c r="W9" i="1"/>
  <c r="X9" i="1"/>
  <c r="Y9" i="1"/>
  <c r="Z9" i="1"/>
  <c r="W10" i="1"/>
  <c r="X10" i="1"/>
  <c r="Y10" i="1"/>
  <c r="Z10" i="1"/>
  <c r="W11" i="1"/>
  <c r="X11" i="1"/>
  <c r="Y11" i="1"/>
  <c r="Z11" i="1"/>
  <c r="W12" i="1"/>
  <c r="X12" i="1"/>
  <c r="Y12" i="1"/>
  <c r="Z12" i="1"/>
  <c r="W13" i="1"/>
  <c r="X13" i="1"/>
  <c r="Y13" i="1"/>
  <c r="Z13" i="1"/>
  <c r="W14" i="1"/>
  <c r="X14" i="1"/>
  <c r="Y14" i="1"/>
  <c r="Z14" i="1"/>
  <c r="W15" i="1"/>
  <c r="X15" i="1"/>
  <c r="Y15" i="1"/>
  <c r="Z15" i="1"/>
  <c r="W16" i="1"/>
  <c r="X16" i="1"/>
  <c r="Y16" i="1"/>
  <c r="Z16" i="1"/>
  <c r="W17" i="1"/>
  <c r="X17" i="1"/>
  <c r="Y17" i="1"/>
  <c r="Z17" i="1"/>
  <c r="W18" i="1"/>
  <c r="X18" i="1"/>
  <c r="Y18" i="1"/>
  <c r="Z18" i="1"/>
  <c r="W19" i="1"/>
  <c r="X19" i="1"/>
  <c r="Y19" i="1"/>
  <c r="Z19" i="1"/>
  <c r="W20" i="1"/>
  <c r="X20" i="1"/>
  <c r="Y20" i="1"/>
  <c r="Z20" i="1"/>
  <c r="W21" i="1"/>
  <c r="X21" i="1"/>
  <c r="Y21" i="1"/>
  <c r="Z21" i="1"/>
  <c r="W22" i="1"/>
  <c r="X22" i="1"/>
  <c r="Y22" i="1"/>
  <c r="Z22" i="1"/>
  <c r="W23" i="1"/>
  <c r="X23" i="1"/>
  <c r="Y23" i="1"/>
  <c r="Z23" i="1"/>
  <c r="W24" i="1"/>
  <c r="X24" i="1"/>
  <c r="Y24" i="1"/>
  <c r="Z24" i="1"/>
  <c r="W25" i="1"/>
  <c r="X25" i="1"/>
  <c r="Y25" i="1"/>
  <c r="Z25" i="1"/>
  <c r="W26" i="1"/>
  <c r="X26" i="1"/>
  <c r="Y26" i="1"/>
  <c r="Z26" i="1"/>
  <c r="W27" i="1"/>
  <c r="X27" i="1"/>
  <c r="Y27" i="1"/>
  <c r="Z27" i="1"/>
  <c r="W28" i="1"/>
  <c r="X28" i="1"/>
  <c r="Y28" i="1"/>
  <c r="Z28" i="1"/>
  <c r="W29" i="1"/>
  <c r="X29" i="1"/>
  <c r="Y29" i="1"/>
  <c r="Z29" i="1"/>
  <c r="W30" i="1"/>
  <c r="X30" i="1"/>
  <c r="Y30" i="1"/>
  <c r="Z30" i="1"/>
  <c r="W31" i="1"/>
  <c r="X31" i="1"/>
  <c r="Y31" i="1"/>
  <c r="Z31" i="1"/>
  <c r="W32" i="1"/>
  <c r="X32" i="1"/>
  <c r="Y32" i="1"/>
  <c r="Z32" i="1"/>
  <c r="W33" i="1"/>
  <c r="X33" i="1"/>
  <c r="Y33" i="1"/>
  <c r="Z33" i="1"/>
  <c r="W34" i="1"/>
  <c r="X34" i="1"/>
  <c r="Y34" i="1"/>
  <c r="Z34" i="1"/>
  <c r="W35" i="1"/>
  <c r="X35" i="1"/>
  <c r="Y35" i="1"/>
  <c r="Z35" i="1"/>
  <c r="W36" i="1"/>
  <c r="X36" i="1"/>
  <c r="Y36" i="1"/>
  <c r="Z36" i="1"/>
  <c r="W37" i="1"/>
  <c r="X37" i="1"/>
  <c r="Y37" i="1"/>
  <c r="Z37" i="1"/>
  <c r="W38" i="1"/>
  <c r="X38" i="1"/>
  <c r="Y38" i="1"/>
  <c r="Z38" i="1"/>
  <c r="W39" i="1"/>
  <c r="X39" i="1"/>
  <c r="Y39" i="1"/>
  <c r="Z39" i="1"/>
  <c r="W40" i="1"/>
  <c r="X40" i="1"/>
  <c r="Y40" i="1"/>
  <c r="Z40" i="1"/>
  <c r="W41" i="1"/>
  <c r="X41" i="1"/>
  <c r="Y41" i="1"/>
  <c r="Z41" i="1"/>
  <c r="W42" i="1"/>
  <c r="X42" i="1"/>
  <c r="Y42" i="1"/>
  <c r="Z42" i="1"/>
  <c r="W43" i="1"/>
  <c r="X43" i="1"/>
  <c r="Y43" i="1"/>
  <c r="Z43" i="1"/>
  <c r="W44" i="1"/>
  <c r="X44" i="1"/>
  <c r="Y44" i="1"/>
  <c r="Z44" i="1"/>
  <c r="W45" i="1"/>
  <c r="X45" i="1"/>
  <c r="Y45" i="1"/>
  <c r="Z45" i="1"/>
  <c r="W46" i="1"/>
  <c r="X46" i="1"/>
  <c r="Y46" i="1"/>
  <c r="Z46" i="1"/>
  <c r="W47" i="1"/>
  <c r="X47" i="1"/>
  <c r="Y47" i="1"/>
  <c r="Z47" i="1"/>
  <c r="W48" i="1"/>
  <c r="X48" i="1"/>
  <c r="Y48" i="1"/>
  <c r="Z48" i="1"/>
  <c r="W49" i="1"/>
  <c r="X49" i="1"/>
  <c r="Y49" i="1"/>
  <c r="Z49" i="1"/>
  <c r="W50" i="1"/>
  <c r="X50" i="1"/>
  <c r="Y50" i="1"/>
  <c r="Z50" i="1"/>
  <c r="W51" i="1"/>
  <c r="X51" i="1"/>
  <c r="Y51" i="1"/>
  <c r="Z51" i="1"/>
  <c r="W52" i="1"/>
  <c r="X52" i="1"/>
  <c r="Y52" i="1"/>
  <c r="Z52" i="1"/>
  <c r="W53" i="1"/>
  <c r="X53" i="1"/>
  <c r="Y53" i="1"/>
  <c r="Z53" i="1"/>
  <c r="W54" i="1"/>
  <c r="X54" i="1"/>
  <c r="Y54" i="1"/>
  <c r="Z54" i="1"/>
  <c r="W55" i="1"/>
  <c r="X55" i="1"/>
  <c r="Y55" i="1"/>
  <c r="Z55" i="1"/>
  <c r="W56" i="1"/>
  <c r="X56" i="1"/>
  <c r="Y56" i="1"/>
  <c r="Z56" i="1"/>
  <c r="W57" i="1"/>
  <c r="X57" i="1"/>
  <c r="Y57" i="1"/>
  <c r="Z57" i="1"/>
  <c r="W58" i="1"/>
  <c r="X58" i="1"/>
  <c r="Y58" i="1"/>
  <c r="Z58" i="1"/>
  <c r="W59" i="1"/>
  <c r="X59" i="1"/>
  <c r="Y59" i="1"/>
  <c r="Z59" i="1"/>
  <c r="W60" i="1"/>
  <c r="X60" i="1"/>
  <c r="Y60" i="1"/>
  <c r="Z60" i="1"/>
  <c r="W61" i="1"/>
  <c r="X61" i="1"/>
  <c r="Y61" i="1"/>
  <c r="Z61" i="1"/>
  <c r="W62" i="1"/>
  <c r="X62" i="1"/>
  <c r="Y62" i="1"/>
  <c r="Z62" i="1"/>
  <c r="W63" i="1"/>
  <c r="X63" i="1"/>
  <c r="Y63" i="1"/>
  <c r="Z63" i="1"/>
  <c r="W64" i="1"/>
  <c r="X64" i="1"/>
  <c r="Y64" i="1"/>
  <c r="Z64" i="1"/>
  <c r="W65" i="1"/>
  <c r="X65" i="1"/>
  <c r="Y65" i="1"/>
  <c r="Z65" i="1"/>
  <c r="W66" i="1"/>
  <c r="X66" i="1"/>
  <c r="Y66" i="1"/>
  <c r="Z66" i="1"/>
  <c r="W67" i="1"/>
  <c r="X67" i="1"/>
  <c r="Y67" i="1"/>
  <c r="Z67" i="1"/>
  <c r="W68" i="1"/>
  <c r="X68" i="1"/>
  <c r="Y68" i="1"/>
  <c r="Z68" i="1"/>
  <c r="W69" i="1"/>
  <c r="X69" i="1"/>
  <c r="Y69" i="1"/>
  <c r="Z69" i="1"/>
  <c r="W70" i="1"/>
  <c r="X70" i="1"/>
  <c r="Y70" i="1"/>
  <c r="Z70" i="1"/>
  <c r="W71" i="1"/>
  <c r="X71" i="1"/>
  <c r="Y71" i="1"/>
  <c r="Z71" i="1"/>
  <c r="W72" i="1"/>
  <c r="X72" i="1"/>
  <c r="Y72" i="1"/>
  <c r="Z72" i="1"/>
  <c r="W73" i="1"/>
  <c r="X73" i="1"/>
  <c r="Y73" i="1"/>
  <c r="Z73" i="1"/>
  <c r="W74" i="1"/>
  <c r="X74" i="1"/>
  <c r="Y74" i="1"/>
  <c r="Z74" i="1"/>
  <c r="W75" i="1"/>
  <c r="X75" i="1"/>
  <c r="Y75" i="1"/>
  <c r="Z75" i="1"/>
  <c r="W76" i="1"/>
  <c r="X76" i="1"/>
  <c r="Y76" i="1"/>
  <c r="Z76" i="1"/>
  <c r="W77" i="1"/>
  <c r="X77" i="1"/>
  <c r="Y77" i="1"/>
  <c r="Z77" i="1"/>
  <c r="W78" i="1"/>
  <c r="X78" i="1"/>
  <c r="Y78" i="1"/>
  <c r="Z78" i="1"/>
  <c r="W79" i="1"/>
  <c r="X79" i="1"/>
  <c r="Y79" i="1"/>
  <c r="Z79" i="1"/>
  <c r="W80" i="1"/>
  <c r="X80" i="1"/>
  <c r="Y80" i="1"/>
  <c r="Z80" i="1"/>
  <c r="W81" i="1"/>
  <c r="X81" i="1"/>
  <c r="Y81" i="1"/>
  <c r="Z81" i="1"/>
  <c r="W82" i="1"/>
  <c r="X82" i="1"/>
  <c r="Y82" i="1"/>
  <c r="Z82" i="1"/>
  <c r="W83" i="1"/>
  <c r="X83" i="1"/>
  <c r="Y83" i="1"/>
  <c r="Z83" i="1"/>
  <c r="W84" i="1"/>
  <c r="X84" i="1"/>
  <c r="Y84" i="1"/>
  <c r="Z84" i="1"/>
  <c r="W85" i="1"/>
  <c r="X85" i="1"/>
  <c r="Y85" i="1"/>
  <c r="Z85" i="1"/>
  <c r="W86" i="1"/>
  <c r="X86" i="1"/>
  <c r="Y86" i="1"/>
  <c r="Z86" i="1"/>
  <c r="W87" i="1"/>
  <c r="X87" i="1"/>
  <c r="Y87" i="1"/>
  <c r="Z87" i="1"/>
  <c r="W88" i="1"/>
  <c r="X88" i="1"/>
  <c r="Y88" i="1"/>
  <c r="Z88" i="1"/>
  <c r="W89" i="1"/>
  <c r="X89" i="1"/>
  <c r="Y89" i="1"/>
  <c r="Z89" i="1"/>
  <c r="W90" i="1"/>
  <c r="X90" i="1"/>
  <c r="Y90" i="1"/>
  <c r="Z90" i="1"/>
  <c r="W91" i="1"/>
  <c r="X91" i="1"/>
  <c r="Y91" i="1"/>
  <c r="Z91" i="1"/>
  <c r="W92" i="1"/>
  <c r="X92" i="1"/>
  <c r="Y92" i="1"/>
  <c r="Z92" i="1"/>
  <c r="W93" i="1"/>
  <c r="X93" i="1"/>
  <c r="Y93" i="1"/>
  <c r="Z93" i="1"/>
  <c r="W94" i="1"/>
  <c r="X94" i="1"/>
  <c r="Y94" i="1"/>
  <c r="Z94" i="1"/>
  <c r="W95" i="1"/>
  <c r="X95" i="1"/>
  <c r="Y95" i="1"/>
  <c r="Z95" i="1"/>
  <c r="W96" i="1"/>
  <c r="X96" i="1"/>
  <c r="Y96" i="1"/>
  <c r="Z96" i="1"/>
  <c r="W97" i="1"/>
  <c r="X97" i="1"/>
  <c r="Y97" i="1"/>
  <c r="Z97" i="1"/>
  <c r="W98" i="1"/>
  <c r="X98" i="1"/>
  <c r="Y98" i="1"/>
  <c r="Z98" i="1"/>
  <c r="W99" i="1"/>
  <c r="X99" i="1"/>
  <c r="Y99" i="1"/>
  <c r="Z99" i="1"/>
  <c r="W100" i="1"/>
  <c r="X100" i="1"/>
  <c r="Y100" i="1"/>
  <c r="Z100" i="1"/>
  <c r="W101" i="1"/>
  <c r="X101" i="1"/>
  <c r="Y101" i="1"/>
  <c r="Z101" i="1"/>
  <c r="W102" i="1"/>
  <c r="X102" i="1"/>
  <c r="Y102" i="1"/>
  <c r="Z102" i="1"/>
  <c r="W103" i="1"/>
  <c r="X103" i="1"/>
  <c r="Y103" i="1"/>
  <c r="Z103" i="1"/>
  <c r="W104" i="1"/>
  <c r="X104" i="1"/>
  <c r="Y104" i="1"/>
  <c r="Z104" i="1"/>
  <c r="W105" i="1"/>
  <c r="X105" i="1"/>
  <c r="Y105" i="1"/>
  <c r="Z105" i="1"/>
  <c r="W106" i="1"/>
  <c r="X106" i="1"/>
  <c r="Y106" i="1"/>
  <c r="Z106" i="1"/>
  <c r="W107" i="1"/>
  <c r="X107" i="1"/>
  <c r="Y107" i="1"/>
  <c r="Z107" i="1"/>
  <c r="W108" i="1"/>
  <c r="X108" i="1"/>
  <c r="Y108" i="1"/>
  <c r="Z108" i="1"/>
  <c r="W109" i="1"/>
  <c r="X109" i="1"/>
  <c r="Y109" i="1"/>
  <c r="Z109" i="1"/>
  <c r="W110" i="1"/>
  <c r="X110" i="1"/>
  <c r="Y110" i="1"/>
  <c r="Z110" i="1"/>
  <c r="W111" i="1"/>
  <c r="X111" i="1"/>
  <c r="Y111" i="1"/>
  <c r="Z111" i="1"/>
  <c r="W112" i="1"/>
  <c r="X112" i="1"/>
  <c r="Y112" i="1"/>
  <c r="Z112" i="1"/>
  <c r="W113" i="1"/>
  <c r="X113" i="1"/>
  <c r="Y113" i="1"/>
  <c r="Z113" i="1"/>
  <c r="W114" i="1"/>
  <c r="X114" i="1"/>
  <c r="Y114" i="1"/>
  <c r="Z114" i="1"/>
  <c r="W115" i="1"/>
  <c r="X115" i="1"/>
  <c r="Y115" i="1"/>
  <c r="Z115" i="1"/>
  <c r="W116" i="1"/>
  <c r="X116" i="1"/>
  <c r="Y116" i="1"/>
  <c r="Z116" i="1"/>
  <c r="W117" i="1"/>
  <c r="X117" i="1"/>
  <c r="Y117" i="1"/>
  <c r="Z117" i="1"/>
  <c r="W118" i="1"/>
  <c r="X118" i="1"/>
  <c r="Y118" i="1"/>
  <c r="Z118" i="1"/>
  <c r="W119" i="1"/>
  <c r="X119" i="1"/>
  <c r="Y119" i="1"/>
  <c r="Z119" i="1"/>
  <c r="W120" i="1"/>
  <c r="X120" i="1"/>
  <c r="Y120" i="1"/>
  <c r="Z120" i="1"/>
  <c r="W121" i="1"/>
  <c r="X121" i="1"/>
  <c r="Y121" i="1"/>
  <c r="Z121" i="1"/>
  <c r="W122" i="1"/>
  <c r="X122" i="1"/>
  <c r="Y122" i="1"/>
  <c r="Z122" i="1"/>
  <c r="W123" i="1"/>
  <c r="X123" i="1"/>
  <c r="Y123" i="1"/>
  <c r="Z123" i="1"/>
  <c r="W124" i="1"/>
  <c r="X124" i="1"/>
  <c r="Y124" i="1"/>
  <c r="Z124" i="1"/>
  <c r="W125" i="1"/>
  <c r="X125" i="1"/>
  <c r="Y125" i="1"/>
  <c r="Z125" i="1"/>
  <c r="W126" i="1"/>
  <c r="X126" i="1"/>
  <c r="Y126" i="1"/>
  <c r="Z126" i="1"/>
  <c r="W127" i="1"/>
  <c r="X127" i="1"/>
  <c r="Y127" i="1"/>
  <c r="Z127" i="1"/>
  <c r="W128" i="1"/>
  <c r="X128" i="1"/>
  <c r="Y128" i="1"/>
  <c r="Z128" i="1"/>
  <c r="W129" i="1"/>
  <c r="X129" i="1"/>
  <c r="Y129" i="1"/>
  <c r="Z129" i="1"/>
  <c r="W130" i="1"/>
  <c r="X130" i="1"/>
  <c r="Y130" i="1"/>
  <c r="Z130" i="1"/>
  <c r="W131" i="1"/>
  <c r="X131" i="1"/>
  <c r="Y131" i="1"/>
  <c r="Z131" i="1"/>
  <c r="W132" i="1"/>
  <c r="X132" i="1"/>
  <c r="Y132" i="1"/>
  <c r="Z132" i="1"/>
  <c r="W133" i="1"/>
  <c r="X133" i="1"/>
  <c r="Y133" i="1"/>
  <c r="Z133" i="1"/>
  <c r="W134" i="1"/>
  <c r="X134" i="1"/>
  <c r="Y134" i="1"/>
  <c r="Z134" i="1"/>
  <c r="W135" i="1"/>
  <c r="X135" i="1"/>
  <c r="Y135" i="1"/>
  <c r="Z135" i="1"/>
  <c r="W136" i="1"/>
  <c r="X136" i="1"/>
  <c r="Y136" i="1"/>
  <c r="Z136" i="1"/>
  <c r="W137" i="1"/>
  <c r="X137" i="1"/>
  <c r="Y137" i="1"/>
  <c r="Z137" i="1"/>
  <c r="W138" i="1"/>
  <c r="X138" i="1"/>
  <c r="Y138" i="1"/>
  <c r="Z138" i="1"/>
  <c r="W139" i="1"/>
  <c r="X139" i="1"/>
  <c r="Y139" i="1"/>
  <c r="Z139" i="1"/>
  <c r="W140" i="1"/>
  <c r="X140" i="1"/>
  <c r="Y140" i="1"/>
  <c r="Z140" i="1"/>
  <c r="W141" i="1"/>
  <c r="X141" i="1"/>
  <c r="Y141" i="1"/>
  <c r="Z141" i="1"/>
  <c r="W142" i="1"/>
  <c r="X142" i="1"/>
  <c r="Y142" i="1"/>
  <c r="Z142" i="1"/>
  <c r="W143" i="1"/>
  <c r="X143" i="1"/>
  <c r="Y143" i="1"/>
  <c r="Z143" i="1"/>
  <c r="W144" i="1"/>
  <c r="X144" i="1"/>
  <c r="Y144" i="1"/>
  <c r="Z144" i="1"/>
  <c r="W145" i="1"/>
  <c r="X145" i="1"/>
  <c r="Y145" i="1"/>
  <c r="Z145" i="1"/>
  <c r="W146" i="1"/>
  <c r="X146" i="1"/>
  <c r="Y146" i="1"/>
  <c r="Z146" i="1"/>
  <c r="W147" i="1"/>
  <c r="X147" i="1"/>
  <c r="Y147" i="1"/>
  <c r="Z147" i="1"/>
  <c r="W148" i="1"/>
  <c r="X148" i="1"/>
  <c r="Y148" i="1"/>
  <c r="Z148" i="1"/>
  <c r="W149" i="1"/>
  <c r="X149" i="1"/>
  <c r="Y149" i="1"/>
  <c r="Z149" i="1"/>
  <c r="W150" i="1"/>
  <c r="X150" i="1"/>
  <c r="Y150" i="1"/>
  <c r="Z150" i="1"/>
  <c r="W151" i="1"/>
  <c r="X151" i="1"/>
  <c r="Y151" i="1"/>
  <c r="Z151" i="1"/>
  <c r="W152" i="1"/>
  <c r="X152" i="1"/>
  <c r="Y152" i="1"/>
  <c r="Z152" i="1"/>
  <c r="W153" i="1"/>
  <c r="X153" i="1"/>
  <c r="Y153" i="1"/>
  <c r="Z153" i="1"/>
  <c r="W154" i="1"/>
  <c r="X154" i="1"/>
  <c r="Y154" i="1"/>
  <c r="Z154" i="1"/>
  <c r="W155" i="1"/>
  <c r="X155" i="1"/>
  <c r="Y155" i="1"/>
  <c r="Z155" i="1"/>
  <c r="W156" i="1"/>
  <c r="X156" i="1"/>
  <c r="Y156" i="1"/>
  <c r="Z156" i="1"/>
  <c r="W157" i="1"/>
  <c r="X157" i="1"/>
  <c r="Y157" i="1"/>
  <c r="Z157" i="1"/>
  <c r="W158" i="1"/>
  <c r="X158" i="1"/>
  <c r="Y158" i="1"/>
  <c r="Z158" i="1"/>
  <c r="W159" i="1"/>
  <c r="X159" i="1"/>
  <c r="Y159" i="1"/>
  <c r="Z159" i="1"/>
  <c r="W160" i="1"/>
  <c r="X160" i="1"/>
  <c r="Y160" i="1"/>
  <c r="Z160" i="1"/>
  <c r="W161" i="1"/>
  <c r="X161" i="1"/>
  <c r="Y161" i="1"/>
  <c r="Z161" i="1"/>
  <c r="W162" i="1"/>
  <c r="X162" i="1"/>
  <c r="Y162" i="1"/>
  <c r="Z162" i="1"/>
  <c r="W163" i="1"/>
  <c r="X163" i="1"/>
  <c r="Y163" i="1"/>
  <c r="Z163" i="1"/>
  <c r="W164" i="1"/>
  <c r="X164" i="1"/>
  <c r="Y164" i="1"/>
  <c r="Z164" i="1"/>
  <c r="W165" i="1"/>
  <c r="X165" i="1"/>
  <c r="Y165" i="1"/>
  <c r="Z165" i="1"/>
  <c r="W166" i="1"/>
  <c r="X166" i="1"/>
  <c r="Y166" i="1"/>
  <c r="Z166" i="1"/>
  <c r="W167" i="1"/>
  <c r="X167" i="1"/>
  <c r="Y167" i="1"/>
  <c r="Z167" i="1"/>
  <c r="W168" i="1"/>
  <c r="X168" i="1"/>
  <c r="Y168" i="1"/>
  <c r="Z168" i="1"/>
  <c r="W169" i="1"/>
  <c r="X169" i="1"/>
  <c r="Y169" i="1"/>
  <c r="Z169" i="1"/>
  <c r="W170" i="1"/>
  <c r="X170" i="1"/>
  <c r="Y170" i="1"/>
  <c r="Z170" i="1"/>
  <c r="W171" i="1"/>
  <c r="X171" i="1"/>
  <c r="Y171" i="1"/>
  <c r="Z171" i="1"/>
  <c r="W172" i="1"/>
  <c r="X172" i="1"/>
  <c r="Y172" i="1"/>
  <c r="Z172" i="1"/>
  <c r="W173" i="1"/>
  <c r="X173" i="1"/>
  <c r="Y173" i="1"/>
  <c r="Z173" i="1"/>
  <c r="W174" i="1"/>
  <c r="X174" i="1"/>
  <c r="Y174" i="1"/>
  <c r="Z174" i="1"/>
  <c r="W175" i="1"/>
  <c r="X175" i="1"/>
  <c r="Y175" i="1"/>
  <c r="Z175" i="1"/>
  <c r="W176" i="1"/>
  <c r="X176" i="1"/>
  <c r="Y176" i="1"/>
  <c r="Z176" i="1"/>
  <c r="W177" i="1"/>
  <c r="X177" i="1"/>
  <c r="Y177" i="1"/>
  <c r="Z177" i="1"/>
  <c r="W178" i="1"/>
  <c r="X178" i="1"/>
  <c r="Y178" i="1"/>
  <c r="Z178" i="1"/>
  <c r="W179" i="1"/>
  <c r="X179" i="1"/>
  <c r="Y179" i="1"/>
  <c r="Z179" i="1"/>
  <c r="W180" i="1"/>
  <c r="X180" i="1"/>
  <c r="Y180" i="1"/>
  <c r="Z180" i="1"/>
  <c r="W181" i="1"/>
  <c r="X181" i="1"/>
  <c r="Y181" i="1"/>
  <c r="Z181" i="1"/>
  <c r="W182" i="1"/>
  <c r="X182" i="1"/>
  <c r="Y182" i="1"/>
  <c r="Z182" i="1"/>
  <c r="W183" i="1"/>
  <c r="X183" i="1"/>
  <c r="Y183" i="1"/>
  <c r="Z183" i="1"/>
  <c r="W184" i="1"/>
  <c r="X184" i="1"/>
  <c r="Y184" i="1"/>
  <c r="Z184" i="1"/>
  <c r="W185" i="1"/>
  <c r="X185" i="1"/>
  <c r="Y185" i="1"/>
  <c r="Z185" i="1"/>
  <c r="W186" i="1"/>
  <c r="X186" i="1"/>
  <c r="Y186" i="1"/>
  <c r="Z186" i="1"/>
  <c r="W187" i="1"/>
  <c r="X187" i="1"/>
  <c r="Y187" i="1"/>
  <c r="Z187" i="1"/>
  <c r="W188" i="1"/>
  <c r="X188" i="1"/>
  <c r="Y188" i="1"/>
  <c r="Z188" i="1"/>
  <c r="W189" i="1"/>
  <c r="X189" i="1"/>
  <c r="Y189" i="1"/>
  <c r="Z189" i="1"/>
  <c r="W190" i="1"/>
  <c r="X190" i="1"/>
  <c r="Y190" i="1"/>
  <c r="Z190" i="1"/>
  <c r="W191" i="1"/>
  <c r="X191" i="1"/>
  <c r="Y191" i="1"/>
  <c r="Z191" i="1"/>
  <c r="W197" i="1"/>
  <c r="X197" i="1"/>
  <c r="Y197" i="1"/>
  <c r="Z197" i="1"/>
  <c r="W201" i="1"/>
  <c r="X201" i="1"/>
  <c r="Y201" i="1"/>
  <c r="Z201" i="1"/>
  <c r="W202" i="1"/>
  <c r="X202" i="1"/>
  <c r="Y202" i="1"/>
  <c r="Z202" i="1"/>
  <c r="W203" i="1"/>
  <c r="X203" i="1"/>
  <c r="Y203" i="1"/>
  <c r="Z203" i="1"/>
  <c r="W204" i="1"/>
  <c r="X204" i="1"/>
  <c r="Y204" i="1"/>
  <c r="Z204" i="1"/>
  <c r="W205" i="1"/>
  <c r="X205" i="1"/>
  <c r="Y205" i="1"/>
  <c r="Z205" i="1"/>
  <c r="W206" i="1"/>
  <c r="X206" i="1"/>
  <c r="Y206" i="1"/>
  <c r="Z206" i="1"/>
  <c r="W207" i="1"/>
  <c r="X207" i="1"/>
  <c r="Y207" i="1"/>
  <c r="Z207" i="1"/>
  <c r="W208" i="1"/>
  <c r="X208" i="1"/>
  <c r="Y208" i="1"/>
  <c r="Z208" i="1"/>
  <c r="W209" i="1"/>
  <c r="X209" i="1"/>
  <c r="Y209" i="1"/>
  <c r="Z209" i="1"/>
  <c r="Z2" i="1"/>
  <c r="Y2" i="1"/>
  <c r="X2" i="1"/>
  <c r="W2" i="1"/>
  <c r="AD198" i="1" l="1"/>
  <c r="AD196" i="1"/>
  <c r="AD194" i="1"/>
  <c r="AE194" i="1"/>
  <c r="AC194" i="1" s="1"/>
  <c r="AG194" i="1"/>
  <c r="AF194" i="1"/>
  <c r="AF196" i="1"/>
  <c r="AG196" i="1"/>
  <c r="AE196" i="1"/>
  <c r="AC196" i="1" s="1"/>
  <c r="AF198" i="1"/>
  <c r="AG198" i="1"/>
  <c r="AE198" i="1"/>
  <c r="AC198" i="1" s="1"/>
  <c r="AE200" i="1"/>
  <c r="AC200" i="1" s="1"/>
  <c r="AF200" i="1"/>
  <c r="AG200" i="1"/>
  <c r="AD200" i="1"/>
  <c r="D182" i="1"/>
  <c r="F182" i="1"/>
  <c r="P196" i="1"/>
  <c r="Q193" i="1"/>
  <c r="O193" i="1"/>
  <c r="N193" i="1"/>
  <c r="R192" i="1"/>
  <c r="M200" i="1"/>
  <c r="S194" i="1"/>
  <c r="P193" i="1"/>
  <c r="R194" i="1"/>
  <c r="U192" i="1"/>
  <c r="S200" i="1"/>
  <c r="R200" i="1"/>
  <c r="M193" i="1"/>
  <c r="Q192" i="1"/>
  <c r="O196" i="1"/>
  <c r="Q200" i="1"/>
  <c r="P192" i="1"/>
  <c r="P200" i="1"/>
  <c r="S195" i="1"/>
  <c r="R193" i="1"/>
  <c r="O200" i="1"/>
  <c r="M198" i="1"/>
  <c r="N200" i="1"/>
  <c r="M199" i="1"/>
  <c r="U193" i="1"/>
  <c r="T193" i="1"/>
  <c r="T195" i="1"/>
  <c r="T194" i="1"/>
  <c r="Q196" i="1"/>
  <c r="T200" i="1"/>
  <c r="N199" i="1"/>
  <c r="N198" i="1"/>
  <c r="N194" i="1"/>
  <c r="F199" i="1"/>
  <c r="S199" i="1"/>
  <c r="U196" i="1"/>
  <c r="R199" i="1"/>
  <c r="U199" i="1"/>
  <c r="T196" i="1"/>
  <c r="Q199" i="1"/>
  <c r="S196" i="1"/>
  <c r="P199" i="1"/>
  <c r="U195" i="1"/>
  <c r="U194" i="1"/>
  <c r="R196" i="1"/>
  <c r="O199" i="1"/>
  <c r="O195" i="1"/>
  <c r="T198" i="1"/>
  <c r="M195" i="1"/>
  <c r="F193" i="1"/>
  <c r="D192" i="1"/>
  <c r="F192" i="1" s="1"/>
  <c r="R198" i="1"/>
  <c r="Q198" i="1"/>
  <c r="F195" i="1"/>
  <c r="T192" i="1"/>
  <c r="P198" i="1"/>
  <c r="S192" i="1"/>
  <c r="O198" i="1"/>
  <c r="R195" i="1"/>
  <c r="Q194" i="1"/>
  <c r="O192" i="1"/>
  <c r="N196" i="1"/>
  <c r="Q195" i="1"/>
  <c r="P194" i="1"/>
  <c r="N192" i="1"/>
  <c r="P195" i="1"/>
  <c r="O194" i="1"/>
  <c r="U198" i="1"/>
  <c r="F75" i="1"/>
  <c r="F99" i="1"/>
  <c r="F178" i="1"/>
  <c r="F133" i="1"/>
  <c r="F25" i="1"/>
  <c r="F111" i="1"/>
  <c r="F3" i="1"/>
  <c r="F109" i="1"/>
  <c r="F97" i="1"/>
  <c r="F176" i="1"/>
  <c r="F73" i="1"/>
  <c r="F168" i="1"/>
  <c r="F63" i="1"/>
  <c r="F167" i="1"/>
  <c r="F61" i="1"/>
  <c r="F147" i="1"/>
  <c r="F39" i="1"/>
  <c r="F145" i="1"/>
  <c r="F37" i="1"/>
  <c r="F135" i="1"/>
  <c r="F27" i="1"/>
  <c r="F118" i="1"/>
  <c r="F82" i="1"/>
  <c r="F46" i="1"/>
  <c r="F10" i="1"/>
  <c r="F2" i="1"/>
  <c r="F175" i="1"/>
  <c r="F144" i="1"/>
  <c r="F108" i="1"/>
  <c r="F72" i="1"/>
  <c r="F36" i="1"/>
  <c r="F209" i="1"/>
  <c r="F201" i="1"/>
  <c r="F142" i="1"/>
  <c r="F106" i="1"/>
  <c r="F70" i="1"/>
  <c r="F34" i="1"/>
  <c r="F166" i="1"/>
  <c r="F132" i="1"/>
  <c r="F96" i="1"/>
  <c r="F60" i="1"/>
  <c r="F24" i="1"/>
  <c r="F164" i="1"/>
  <c r="F130" i="1"/>
  <c r="F94" i="1"/>
  <c r="F58" i="1"/>
  <c r="F22" i="1"/>
  <c r="F186" i="1"/>
  <c r="F157" i="1"/>
  <c r="F123" i="1"/>
  <c r="F87" i="1"/>
  <c r="F51" i="1"/>
  <c r="F15" i="1"/>
  <c r="F155" i="1"/>
  <c r="F121" i="1"/>
  <c r="F85" i="1"/>
  <c r="F49" i="1"/>
  <c r="F13" i="1"/>
  <c r="F184" i="1"/>
  <c r="F154" i="1"/>
  <c r="F120" i="1"/>
  <c r="F84" i="1"/>
  <c r="F48" i="1"/>
  <c r="F12" i="1"/>
  <c r="F185" i="1"/>
  <c r="F177" i="1"/>
  <c r="F156" i="1"/>
  <c r="F146" i="1"/>
  <c r="F134" i="1"/>
  <c r="F122" i="1"/>
  <c r="F110" i="1"/>
  <c r="F98" i="1"/>
  <c r="F86" i="1"/>
  <c r="F74" i="1"/>
  <c r="F62" i="1"/>
  <c r="F50" i="1"/>
  <c r="F38" i="1"/>
  <c r="F26" i="1"/>
  <c r="F14" i="1"/>
  <c r="F208" i="1"/>
  <c r="F204" i="1"/>
  <c r="F183" i="1"/>
  <c r="F174" i="1"/>
  <c r="F165" i="1"/>
  <c r="F153" i="1"/>
  <c r="F143" i="1"/>
  <c r="F131" i="1"/>
  <c r="F119" i="1"/>
  <c r="F107" i="1"/>
  <c r="F95" i="1"/>
  <c r="F83" i="1"/>
  <c r="F71" i="1"/>
  <c r="F59" i="1"/>
  <c r="F47" i="1"/>
  <c r="F35" i="1"/>
  <c r="F23" i="1"/>
  <c r="F11" i="1"/>
  <c r="F202" i="1"/>
  <c r="F173" i="1"/>
  <c r="F163" i="1"/>
  <c r="F152" i="1"/>
  <c r="F141" i="1"/>
  <c r="F129" i="1"/>
  <c r="F117" i="1"/>
  <c r="F105" i="1"/>
  <c r="F93" i="1"/>
  <c r="F81" i="1"/>
  <c r="F69" i="1"/>
  <c r="F57" i="1"/>
  <c r="F45" i="1"/>
  <c r="F33" i="1"/>
  <c r="F21" i="1"/>
  <c r="F9" i="1"/>
  <c r="Q144" i="1"/>
  <c r="F206" i="1"/>
  <c r="F203" i="1"/>
  <c r="F191" i="1"/>
  <c r="F172" i="1"/>
  <c r="F162" i="1"/>
  <c r="F151" i="1"/>
  <c r="F140" i="1"/>
  <c r="F128" i="1"/>
  <c r="F116" i="1"/>
  <c r="F104" i="1"/>
  <c r="F92" i="1"/>
  <c r="F80" i="1"/>
  <c r="F68" i="1"/>
  <c r="F56" i="1"/>
  <c r="F44" i="1"/>
  <c r="F32" i="1"/>
  <c r="F20" i="1"/>
  <c r="F8" i="1"/>
  <c r="R133" i="1"/>
  <c r="F190" i="1"/>
  <c r="F181" i="1"/>
  <c r="F161" i="1"/>
  <c r="F150" i="1"/>
  <c r="F139" i="1"/>
  <c r="F127" i="1"/>
  <c r="F115" i="1"/>
  <c r="F103" i="1"/>
  <c r="F91" i="1"/>
  <c r="F79" i="1"/>
  <c r="F67" i="1"/>
  <c r="F55" i="1"/>
  <c r="F43" i="1"/>
  <c r="F31" i="1"/>
  <c r="F19" i="1"/>
  <c r="F7" i="1"/>
  <c r="F189" i="1"/>
  <c r="F171" i="1"/>
  <c r="F160" i="1"/>
  <c r="F149" i="1"/>
  <c r="F138" i="1"/>
  <c r="F126" i="1"/>
  <c r="F114" i="1"/>
  <c r="F102" i="1"/>
  <c r="F90" i="1"/>
  <c r="F78" i="1"/>
  <c r="F66" i="1"/>
  <c r="F54" i="1"/>
  <c r="F42" i="1"/>
  <c r="F30" i="1"/>
  <c r="F18" i="1"/>
  <c r="F6" i="1"/>
  <c r="F205" i="1"/>
  <c r="F188" i="1"/>
  <c r="F180" i="1"/>
  <c r="F170" i="1"/>
  <c r="F159" i="1"/>
  <c r="F148" i="1"/>
  <c r="F137" i="1"/>
  <c r="F125" i="1"/>
  <c r="F101" i="1"/>
  <c r="F89" i="1"/>
  <c r="F77" i="1"/>
  <c r="F65" i="1"/>
  <c r="F53" i="1"/>
  <c r="F41" i="1"/>
  <c r="F29" i="1"/>
  <c r="F17" i="1"/>
  <c r="F5" i="1"/>
  <c r="F207" i="1"/>
  <c r="F197" i="1"/>
  <c r="F187" i="1"/>
  <c r="F179" i="1"/>
  <c r="F169" i="1"/>
  <c r="F158" i="1"/>
  <c r="F136" i="1"/>
  <c r="F124" i="1"/>
  <c r="F112" i="1"/>
  <c r="F100" i="1"/>
  <c r="F88" i="1"/>
  <c r="F76" i="1"/>
  <c r="F64" i="1"/>
  <c r="F52" i="1"/>
  <c r="F40" i="1"/>
  <c r="F28" i="1"/>
  <c r="F16" i="1"/>
  <c r="F4" i="1"/>
  <c r="Q184" i="1"/>
  <c r="R173" i="1"/>
  <c r="N206" i="1"/>
  <c r="U206" i="1"/>
  <c r="M206" i="1"/>
  <c r="O206" i="1"/>
  <c r="P206" i="1"/>
  <c r="N203" i="1"/>
  <c r="O203" i="1"/>
  <c r="Q203" i="1"/>
  <c r="R203" i="1"/>
  <c r="S203" i="1"/>
  <c r="T203" i="1"/>
  <c r="U203" i="1"/>
  <c r="R191" i="1"/>
  <c r="O191" i="1"/>
  <c r="P191" i="1"/>
  <c r="Q191" i="1"/>
  <c r="M191" i="1"/>
  <c r="N191" i="1"/>
  <c r="R182" i="1"/>
  <c r="S182" i="1"/>
  <c r="T182" i="1"/>
  <c r="U182" i="1"/>
  <c r="Q182" i="1"/>
  <c r="M182" i="1"/>
  <c r="N182" i="1"/>
  <c r="R172" i="1"/>
  <c r="M172" i="1"/>
  <c r="N172" i="1"/>
  <c r="O172" i="1"/>
  <c r="P172" i="1"/>
  <c r="Q172" i="1"/>
  <c r="S172" i="1"/>
  <c r="T172" i="1"/>
  <c r="U172" i="1"/>
  <c r="R162" i="1"/>
  <c r="M162" i="1"/>
  <c r="N162" i="1"/>
  <c r="O162" i="1"/>
  <c r="T162" i="1"/>
  <c r="U162" i="1"/>
  <c r="Q162" i="1"/>
  <c r="S162" i="1"/>
  <c r="P162" i="1"/>
  <c r="R151" i="1"/>
  <c r="T151" i="1"/>
  <c r="M151" i="1"/>
  <c r="N151" i="1"/>
  <c r="Q151" i="1"/>
  <c r="S151" i="1"/>
  <c r="U151" i="1"/>
  <c r="P151" i="1"/>
  <c r="R140" i="1"/>
  <c r="S140" i="1"/>
  <c r="T140" i="1"/>
  <c r="M140" i="1"/>
  <c r="Q140" i="1"/>
  <c r="U140" i="1"/>
  <c r="P140" i="1"/>
  <c r="R128" i="1"/>
  <c r="S128" i="1"/>
  <c r="T128" i="1"/>
  <c r="U128" i="1"/>
  <c r="M128" i="1"/>
  <c r="N128" i="1"/>
  <c r="O128" i="1"/>
  <c r="P128" i="1"/>
  <c r="R116" i="1"/>
  <c r="S116" i="1"/>
  <c r="T116" i="1"/>
  <c r="U116" i="1"/>
  <c r="M116" i="1"/>
  <c r="P116" i="1"/>
  <c r="Q116" i="1"/>
  <c r="O116" i="1"/>
  <c r="T104" i="1"/>
  <c r="N104" i="1"/>
  <c r="O104" i="1"/>
  <c r="P104" i="1"/>
  <c r="Q104" i="1"/>
  <c r="R104" i="1"/>
  <c r="M104" i="1"/>
  <c r="S104" i="1"/>
  <c r="U104" i="1"/>
  <c r="T92" i="1"/>
  <c r="M92" i="1"/>
  <c r="N92" i="1"/>
  <c r="O92" i="1"/>
  <c r="P92" i="1"/>
  <c r="Q92" i="1"/>
  <c r="R92" i="1"/>
  <c r="S92" i="1"/>
  <c r="U92" i="1"/>
  <c r="T80" i="1"/>
  <c r="R80" i="1"/>
  <c r="S80" i="1"/>
  <c r="U80" i="1"/>
  <c r="M80" i="1"/>
  <c r="N80" i="1"/>
  <c r="O80" i="1"/>
  <c r="Q80" i="1"/>
  <c r="N68" i="1"/>
  <c r="O68" i="1"/>
  <c r="P68" i="1"/>
  <c r="Q68" i="1"/>
  <c r="R68" i="1"/>
  <c r="T68" i="1"/>
  <c r="U68" i="1"/>
  <c r="M68" i="1"/>
  <c r="S68" i="1"/>
  <c r="Q56" i="1"/>
  <c r="R56" i="1"/>
  <c r="S56" i="1"/>
  <c r="T56" i="1"/>
  <c r="U56" i="1"/>
  <c r="N56" i="1"/>
  <c r="O56" i="1"/>
  <c r="P56" i="1"/>
  <c r="M56" i="1"/>
  <c r="T44" i="1"/>
  <c r="U44" i="1"/>
  <c r="M44" i="1"/>
  <c r="N44" i="1"/>
  <c r="O44" i="1"/>
  <c r="P44" i="1"/>
  <c r="Q44" i="1"/>
  <c r="R44" i="1"/>
  <c r="S44" i="1"/>
  <c r="M32" i="1"/>
  <c r="N32" i="1"/>
  <c r="O32" i="1"/>
  <c r="P32" i="1"/>
  <c r="T32" i="1"/>
  <c r="U32" i="1"/>
  <c r="S32" i="1"/>
  <c r="R32" i="1"/>
  <c r="U20" i="1"/>
  <c r="M20" i="1"/>
  <c r="R20" i="1"/>
  <c r="S20" i="1"/>
  <c r="T20" i="1"/>
  <c r="N20" i="1"/>
  <c r="O20" i="1"/>
  <c r="P20" i="1"/>
  <c r="Q20" i="1"/>
  <c r="U8" i="1"/>
  <c r="M8" i="1"/>
  <c r="T8" i="1"/>
  <c r="N8" i="1"/>
  <c r="O8" i="1"/>
  <c r="P8" i="1"/>
  <c r="Q8" i="1"/>
  <c r="R8" i="1"/>
  <c r="S8" i="1"/>
  <c r="O207" i="1"/>
  <c r="N201" i="1"/>
  <c r="T191" i="1"/>
  <c r="S184" i="1"/>
  <c r="Q180" i="1"/>
  <c r="S173" i="1"/>
  <c r="U144" i="1"/>
  <c r="S133" i="1"/>
  <c r="O190" i="1"/>
  <c r="M190" i="1"/>
  <c r="N190" i="1"/>
  <c r="S190" i="1"/>
  <c r="T190" i="1"/>
  <c r="U190" i="1"/>
  <c r="P190" i="1"/>
  <c r="Q190" i="1"/>
  <c r="O181" i="1"/>
  <c r="N181" i="1"/>
  <c r="P181" i="1"/>
  <c r="Q181" i="1"/>
  <c r="R181" i="1"/>
  <c r="M181" i="1"/>
  <c r="S181" i="1"/>
  <c r="T181" i="1"/>
  <c r="U181" i="1"/>
  <c r="O161" i="1"/>
  <c r="U161" i="1"/>
  <c r="M161" i="1"/>
  <c r="N161" i="1"/>
  <c r="P161" i="1"/>
  <c r="O150" i="1"/>
  <c r="Q150" i="1"/>
  <c r="T150" i="1"/>
  <c r="U150" i="1"/>
  <c r="M150" i="1"/>
  <c r="N150" i="1"/>
  <c r="P150" i="1"/>
  <c r="R150" i="1"/>
  <c r="S150" i="1"/>
  <c r="O139" i="1"/>
  <c r="P139" i="1"/>
  <c r="Q139" i="1"/>
  <c r="S139" i="1"/>
  <c r="T139" i="1"/>
  <c r="U139" i="1"/>
  <c r="O127" i="1"/>
  <c r="P127" i="1"/>
  <c r="Q127" i="1"/>
  <c r="R127" i="1"/>
  <c r="M127" i="1"/>
  <c r="N127" i="1"/>
  <c r="S127" i="1"/>
  <c r="T127" i="1"/>
  <c r="U127" i="1"/>
  <c r="O115" i="1"/>
  <c r="P115" i="1"/>
  <c r="Q115" i="1"/>
  <c r="R115" i="1"/>
  <c r="S115" i="1"/>
  <c r="M115" i="1"/>
  <c r="N115" i="1"/>
  <c r="T115" i="1"/>
  <c r="U115" i="1"/>
  <c r="Q103" i="1"/>
  <c r="M103" i="1"/>
  <c r="N103" i="1"/>
  <c r="O103" i="1"/>
  <c r="P103" i="1"/>
  <c r="R103" i="1"/>
  <c r="S103" i="1"/>
  <c r="T103" i="1"/>
  <c r="U103" i="1"/>
  <c r="Q91" i="1"/>
  <c r="S91" i="1"/>
  <c r="U91" i="1"/>
  <c r="T91" i="1"/>
  <c r="N91" i="1"/>
  <c r="O91" i="1"/>
  <c r="P91" i="1"/>
  <c r="R91" i="1"/>
  <c r="M91" i="1"/>
  <c r="Q79" i="1"/>
  <c r="S79" i="1"/>
  <c r="M79" i="1"/>
  <c r="N79" i="1"/>
  <c r="O79" i="1"/>
  <c r="P79" i="1"/>
  <c r="R79" i="1"/>
  <c r="T79" i="1"/>
  <c r="U79" i="1"/>
  <c r="T67" i="1"/>
  <c r="M67" i="1"/>
  <c r="N67" i="1"/>
  <c r="O67" i="1"/>
  <c r="Q67" i="1"/>
  <c r="R67" i="1"/>
  <c r="S67" i="1"/>
  <c r="U67" i="1"/>
  <c r="P67" i="1"/>
  <c r="T55" i="1"/>
  <c r="M55" i="1"/>
  <c r="N55" i="1"/>
  <c r="O55" i="1"/>
  <c r="P55" i="1"/>
  <c r="Q55" i="1"/>
  <c r="R55" i="1"/>
  <c r="S55" i="1"/>
  <c r="U55" i="1"/>
  <c r="T43" i="1"/>
  <c r="P43" i="1"/>
  <c r="Q43" i="1"/>
  <c r="R43" i="1"/>
  <c r="S43" i="1"/>
  <c r="U43" i="1"/>
  <c r="M43" i="1"/>
  <c r="N43" i="1"/>
  <c r="O43" i="1"/>
  <c r="S31" i="1"/>
  <c r="T31" i="1"/>
  <c r="R31" i="1"/>
  <c r="U31" i="1"/>
  <c r="N31" i="1"/>
  <c r="O31" i="1"/>
  <c r="P31" i="1"/>
  <c r="Q31" i="1"/>
  <c r="R19" i="1"/>
  <c r="S19" i="1"/>
  <c r="T19" i="1"/>
  <c r="U19" i="1"/>
  <c r="M19" i="1"/>
  <c r="N19" i="1"/>
  <c r="Q19" i="1"/>
  <c r="P19" i="1"/>
  <c r="O19" i="1"/>
  <c r="R7" i="1"/>
  <c r="S7" i="1"/>
  <c r="T7" i="1"/>
  <c r="U7" i="1"/>
  <c r="M7" i="1"/>
  <c r="N7" i="1"/>
  <c r="O7" i="1"/>
  <c r="P7" i="1"/>
  <c r="Q7" i="1"/>
  <c r="N207" i="1"/>
  <c r="S191" i="1"/>
  <c r="P180" i="1"/>
  <c r="T189" i="1"/>
  <c r="U189" i="1"/>
  <c r="M189" i="1"/>
  <c r="N189" i="1"/>
  <c r="O189" i="1"/>
  <c r="Q189" i="1"/>
  <c r="R189" i="1"/>
  <c r="S189" i="1"/>
  <c r="P189" i="1"/>
  <c r="N171" i="1"/>
  <c r="O171" i="1"/>
  <c r="P171" i="1"/>
  <c r="Q171" i="1"/>
  <c r="M171" i="1"/>
  <c r="Q160" i="1"/>
  <c r="R160" i="1"/>
  <c r="S160" i="1"/>
  <c r="T160" i="1"/>
  <c r="P160" i="1"/>
  <c r="U160" i="1"/>
  <c r="M160" i="1"/>
  <c r="N149" i="1"/>
  <c r="O149" i="1"/>
  <c r="P149" i="1"/>
  <c r="Q149" i="1"/>
  <c r="R149" i="1"/>
  <c r="U149" i="1"/>
  <c r="M138" i="1"/>
  <c r="N138" i="1"/>
  <c r="O138" i="1"/>
  <c r="P138" i="1"/>
  <c r="Q138" i="1"/>
  <c r="R138" i="1"/>
  <c r="S138" i="1"/>
  <c r="T138" i="1"/>
  <c r="U138" i="1"/>
  <c r="M126" i="1"/>
  <c r="N126" i="1"/>
  <c r="O126" i="1"/>
  <c r="P126" i="1"/>
  <c r="Q126" i="1"/>
  <c r="R126" i="1"/>
  <c r="S126" i="1"/>
  <c r="T126" i="1"/>
  <c r="U126" i="1"/>
  <c r="M114" i="1"/>
  <c r="N114" i="1"/>
  <c r="O114" i="1"/>
  <c r="P114" i="1"/>
  <c r="S114" i="1"/>
  <c r="T114" i="1"/>
  <c r="U114" i="1"/>
  <c r="Q114" i="1"/>
  <c r="R114" i="1"/>
  <c r="N102" i="1"/>
  <c r="S102" i="1"/>
  <c r="T102" i="1"/>
  <c r="U102" i="1"/>
  <c r="Q102" i="1"/>
  <c r="R102" i="1"/>
  <c r="M102" i="1"/>
  <c r="O102" i="1"/>
  <c r="P102" i="1"/>
  <c r="N90" i="1"/>
  <c r="P90" i="1"/>
  <c r="O90" i="1"/>
  <c r="Q90" i="1"/>
  <c r="R90" i="1"/>
  <c r="S90" i="1"/>
  <c r="T90" i="1"/>
  <c r="M90" i="1"/>
  <c r="N78" i="1"/>
  <c r="P78" i="1"/>
  <c r="Q78" i="1"/>
  <c r="R78" i="1"/>
  <c r="S78" i="1"/>
  <c r="T78" i="1"/>
  <c r="U78" i="1"/>
  <c r="O78" i="1"/>
  <c r="Q66" i="1"/>
  <c r="S66" i="1"/>
  <c r="T66" i="1"/>
  <c r="U66" i="1"/>
  <c r="N66" i="1"/>
  <c r="O66" i="1"/>
  <c r="P66" i="1"/>
  <c r="R66" i="1"/>
  <c r="M66" i="1"/>
  <c r="Q54" i="1"/>
  <c r="M54" i="1"/>
  <c r="N54" i="1"/>
  <c r="O54" i="1"/>
  <c r="P54" i="1"/>
  <c r="R54" i="1"/>
  <c r="S54" i="1"/>
  <c r="T54" i="1"/>
  <c r="U54" i="1"/>
  <c r="Q42" i="1"/>
  <c r="M42" i="1"/>
  <c r="N42" i="1"/>
  <c r="O42" i="1"/>
  <c r="P42" i="1"/>
  <c r="R42" i="1"/>
  <c r="S42" i="1"/>
  <c r="T42" i="1"/>
  <c r="U42" i="1"/>
  <c r="O30" i="1"/>
  <c r="P30" i="1"/>
  <c r="Q30" i="1"/>
  <c r="S30" i="1"/>
  <c r="M30" i="1"/>
  <c r="N30" i="1"/>
  <c r="R30" i="1"/>
  <c r="T30" i="1"/>
  <c r="U30" i="1"/>
  <c r="O18" i="1"/>
  <c r="P18" i="1"/>
  <c r="Q18" i="1"/>
  <c r="R18" i="1"/>
  <c r="S18" i="1"/>
  <c r="N18" i="1"/>
  <c r="T18" i="1"/>
  <c r="U18" i="1"/>
  <c r="M18" i="1"/>
  <c r="O6" i="1"/>
  <c r="P6" i="1"/>
  <c r="Q6" i="1"/>
  <c r="R6" i="1"/>
  <c r="S6" i="1"/>
  <c r="U6" i="1"/>
  <c r="T6" i="1"/>
  <c r="M6" i="1"/>
  <c r="N6" i="1"/>
  <c r="R190" i="1"/>
  <c r="N160" i="1"/>
  <c r="Q205" i="1"/>
  <c r="R205" i="1"/>
  <c r="S205" i="1"/>
  <c r="T205" i="1"/>
  <c r="U205" i="1"/>
  <c r="P205" i="1"/>
  <c r="U188" i="1"/>
  <c r="P188" i="1"/>
  <c r="Q188" i="1"/>
  <c r="R188" i="1"/>
  <c r="S188" i="1"/>
  <c r="O188" i="1"/>
  <c r="T188" i="1"/>
  <c r="U180" i="1"/>
  <c r="S180" i="1"/>
  <c r="T180" i="1"/>
  <c r="M180" i="1"/>
  <c r="N180" i="1"/>
  <c r="U170" i="1"/>
  <c r="M170" i="1"/>
  <c r="Q170" i="1"/>
  <c r="R170" i="1"/>
  <c r="S170" i="1"/>
  <c r="T170" i="1"/>
  <c r="N170" i="1"/>
  <c r="O170" i="1"/>
  <c r="U159" i="1"/>
  <c r="M159" i="1"/>
  <c r="N159" i="1"/>
  <c r="O159" i="1"/>
  <c r="P159" i="1"/>
  <c r="Q159" i="1"/>
  <c r="R159" i="1"/>
  <c r="S159" i="1"/>
  <c r="T159" i="1"/>
  <c r="U148" i="1"/>
  <c r="M148" i="1"/>
  <c r="N148" i="1"/>
  <c r="O148" i="1"/>
  <c r="P148" i="1"/>
  <c r="Q148" i="1"/>
  <c r="R148" i="1"/>
  <c r="U137" i="1"/>
  <c r="S137" i="1"/>
  <c r="T137" i="1"/>
  <c r="R137" i="1"/>
  <c r="Q137" i="1"/>
  <c r="M137" i="1"/>
  <c r="N137" i="1"/>
  <c r="O137" i="1"/>
  <c r="P137" i="1"/>
  <c r="U125" i="1"/>
  <c r="M125" i="1"/>
  <c r="T125" i="1"/>
  <c r="S125" i="1"/>
  <c r="R125" i="1"/>
  <c r="N125" i="1"/>
  <c r="O125" i="1"/>
  <c r="P125" i="1"/>
  <c r="Q125" i="1"/>
  <c r="U113" i="1"/>
  <c r="M113" i="1"/>
  <c r="N113" i="1"/>
  <c r="O113" i="1"/>
  <c r="T113" i="1"/>
  <c r="P113" i="1"/>
  <c r="Q113" i="1"/>
  <c r="O101" i="1"/>
  <c r="P101" i="1"/>
  <c r="Q101" i="1"/>
  <c r="R101" i="1"/>
  <c r="S101" i="1"/>
  <c r="U101" i="1"/>
  <c r="M101" i="1"/>
  <c r="N101" i="1"/>
  <c r="T101" i="1"/>
  <c r="M89" i="1"/>
  <c r="N89" i="1"/>
  <c r="O89" i="1"/>
  <c r="Q89" i="1"/>
  <c r="R89" i="1"/>
  <c r="S89" i="1"/>
  <c r="T89" i="1"/>
  <c r="U89" i="1"/>
  <c r="P89" i="1"/>
  <c r="M77" i="1"/>
  <c r="Q77" i="1"/>
  <c r="R77" i="1"/>
  <c r="S77" i="1"/>
  <c r="T77" i="1"/>
  <c r="U77" i="1"/>
  <c r="N77" i="1"/>
  <c r="O77" i="1"/>
  <c r="N65" i="1"/>
  <c r="O65" i="1"/>
  <c r="P65" i="1"/>
  <c r="Q65" i="1"/>
  <c r="R65" i="1"/>
  <c r="S65" i="1"/>
  <c r="U65" i="1"/>
  <c r="T65" i="1"/>
  <c r="N53" i="1"/>
  <c r="R53" i="1"/>
  <c r="S53" i="1"/>
  <c r="T53" i="1"/>
  <c r="U53" i="1"/>
  <c r="Q53" i="1"/>
  <c r="P53" i="1"/>
  <c r="M53" i="1"/>
  <c r="N41" i="1"/>
  <c r="U41" i="1"/>
  <c r="P41" i="1"/>
  <c r="Q41" i="1"/>
  <c r="R41" i="1"/>
  <c r="S41" i="1"/>
  <c r="T41" i="1"/>
  <c r="O41" i="1"/>
  <c r="M41" i="1"/>
  <c r="M29" i="1"/>
  <c r="N29" i="1"/>
  <c r="O29" i="1"/>
  <c r="P29" i="1"/>
  <c r="T29" i="1"/>
  <c r="U29" i="1"/>
  <c r="Q29" i="1"/>
  <c r="R29" i="1"/>
  <c r="S29" i="1"/>
  <c r="M17" i="1"/>
  <c r="N17" i="1"/>
  <c r="O17" i="1"/>
  <c r="P17" i="1"/>
  <c r="Q17" i="1"/>
  <c r="R17" i="1"/>
  <c r="S17" i="1"/>
  <c r="T17" i="1"/>
  <c r="U17" i="1"/>
  <c r="M5" i="1"/>
  <c r="N5" i="1"/>
  <c r="O5" i="1"/>
  <c r="P5" i="1"/>
  <c r="Q5" i="1"/>
  <c r="R5" i="1"/>
  <c r="S5" i="1"/>
  <c r="T5" i="1"/>
  <c r="U5" i="1"/>
  <c r="U208" i="1"/>
  <c r="O205" i="1"/>
  <c r="P204" i="1"/>
  <c r="N188" i="1"/>
  <c r="U165" i="1"/>
  <c r="O151" i="1"/>
  <c r="O53" i="1"/>
  <c r="T207" i="1"/>
  <c r="U207" i="1"/>
  <c r="S207" i="1"/>
  <c r="R197" i="1"/>
  <c r="M197" i="1"/>
  <c r="N197" i="1"/>
  <c r="Q197" i="1"/>
  <c r="S197" i="1"/>
  <c r="T197" i="1"/>
  <c r="U197" i="1"/>
  <c r="P197" i="1"/>
  <c r="R187" i="1"/>
  <c r="M187" i="1"/>
  <c r="N187" i="1"/>
  <c r="O187" i="1"/>
  <c r="P187" i="1"/>
  <c r="R179" i="1"/>
  <c r="O179" i="1"/>
  <c r="P179" i="1"/>
  <c r="Q179" i="1"/>
  <c r="S179" i="1"/>
  <c r="N179" i="1"/>
  <c r="T179" i="1"/>
  <c r="U179" i="1"/>
  <c r="M179" i="1"/>
  <c r="R169" i="1"/>
  <c r="S169" i="1"/>
  <c r="T169" i="1"/>
  <c r="U169" i="1"/>
  <c r="M169" i="1"/>
  <c r="O169" i="1"/>
  <c r="P169" i="1"/>
  <c r="Q169" i="1"/>
  <c r="N169" i="1"/>
  <c r="R158" i="1"/>
  <c r="P158" i="1"/>
  <c r="Q158" i="1"/>
  <c r="S158" i="1"/>
  <c r="T158" i="1"/>
  <c r="U158" i="1"/>
  <c r="O158" i="1"/>
  <c r="R136" i="1"/>
  <c r="S136" i="1"/>
  <c r="T136" i="1"/>
  <c r="M136" i="1"/>
  <c r="N136" i="1"/>
  <c r="O136" i="1"/>
  <c r="P136" i="1"/>
  <c r="U136" i="1"/>
  <c r="R124" i="1"/>
  <c r="S124" i="1"/>
  <c r="T124" i="1"/>
  <c r="U124" i="1"/>
  <c r="M124" i="1"/>
  <c r="N124" i="1"/>
  <c r="O124" i="1"/>
  <c r="P124" i="1"/>
  <c r="Q124" i="1"/>
  <c r="R112" i="1"/>
  <c r="S112" i="1"/>
  <c r="T112" i="1"/>
  <c r="U112" i="1"/>
  <c r="O112" i="1"/>
  <c r="P112" i="1"/>
  <c r="Q112" i="1"/>
  <c r="M112" i="1"/>
  <c r="N112" i="1"/>
  <c r="T100" i="1"/>
  <c r="M100" i="1"/>
  <c r="N100" i="1"/>
  <c r="O100" i="1"/>
  <c r="P100" i="1"/>
  <c r="Q100" i="1"/>
  <c r="R100" i="1"/>
  <c r="S100" i="1"/>
  <c r="U100" i="1"/>
  <c r="T88" i="1"/>
  <c r="R88" i="1"/>
  <c r="S88" i="1"/>
  <c r="U88" i="1"/>
  <c r="O88" i="1"/>
  <c r="P88" i="1"/>
  <c r="Q88" i="1"/>
  <c r="N88" i="1"/>
  <c r="T76" i="1"/>
  <c r="U76" i="1"/>
  <c r="M76" i="1"/>
  <c r="N76" i="1"/>
  <c r="O76" i="1"/>
  <c r="P76" i="1"/>
  <c r="Q76" i="1"/>
  <c r="R76" i="1"/>
  <c r="S76" i="1"/>
  <c r="M64" i="1"/>
  <c r="N64" i="1"/>
  <c r="O64" i="1"/>
  <c r="P64" i="1"/>
  <c r="Q64" i="1"/>
  <c r="R64" i="1"/>
  <c r="S64" i="1"/>
  <c r="T64" i="1"/>
  <c r="N52" i="1"/>
  <c r="O52" i="1"/>
  <c r="P52" i="1"/>
  <c r="Q52" i="1"/>
  <c r="R52" i="1"/>
  <c r="M52" i="1"/>
  <c r="S52" i="1"/>
  <c r="T52" i="1"/>
  <c r="U52" i="1"/>
  <c r="Q40" i="1"/>
  <c r="R40" i="1"/>
  <c r="S40" i="1"/>
  <c r="T40" i="1"/>
  <c r="U40" i="1"/>
  <c r="P40" i="1"/>
  <c r="M40" i="1"/>
  <c r="N40" i="1"/>
  <c r="O40" i="1"/>
  <c r="U28" i="1"/>
  <c r="M28" i="1"/>
  <c r="N28" i="1"/>
  <c r="O28" i="1"/>
  <c r="P28" i="1"/>
  <c r="Q28" i="1"/>
  <c r="R28" i="1"/>
  <c r="S28" i="1"/>
  <c r="T28" i="1"/>
  <c r="U16" i="1"/>
  <c r="M16" i="1"/>
  <c r="O16" i="1"/>
  <c r="P16" i="1"/>
  <c r="Q16" i="1"/>
  <c r="R16" i="1"/>
  <c r="S16" i="1"/>
  <c r="N16" i="1"/>
  <c r="T16" i="1"/>
  <c r="U4" i="1"/>
  <c r="M4" i="1"/>
  <c r="R4" i="1"/>
  <c r="S4" i="1"/>
  <c r="T4" i="1"/>
  <c r="Q4" i="1"/>
  <c r="N4" i="1"/>
  <c r="O4" i="1"/>
  <c r="P4" i="1"/>
  <c r="N2" i="1"/>
  <c r="S208" i="1"/>
  <c r="N205" i="1"/>
  <c r="O204" i="1"/>
  <c r="M188" i="1"/>
  <c r="N177" i="1"/>
  <c r="U171" i="1"/>
  <c r="M158" i="1"/>
  <c r="T149" i="1"/>
  <c r="O140" i="1"/>
  <c r="Q96" i="1"/>
  <c r="R48" i="1"/>
  <c r="O186" i="1"/>
  <c r="U186" i="1"/>
  <c r="P186" i="1"/>
  <c r="Q186" i="1"/>
  <c r="R186" i="1"/>
  <c r="S186" i="1"/>
  <c r="T186" i="1"/>
  <c r="M186" i="1"/>
  <c r="N186" i="1"/>
  <c r="O178" i="1"/>
  <c r="M178" i="1"/>
  <c r="N178" i="1"/>
  <c r="R178" i="1"/>
  <c r="S178" i="1"/>
  <c r="T178" i="1"/>
  <c r="U178" i="1"/>
  <c r="Q178" i="1"/>
  <c r="O168" i="1"/>
  <c r="N168" i="1"/>
  <c r="P168" i="1"/>
  <c r="Q168" i="1"/>
  <c r="R168" i="1"/>
  <c r="M168" i="1"/>
  <c r="S168" i="1"/>
  <c r="T168" i="1"/>
  <c r="U168" i="1"/>
  <c r="O157" i="1"/>
  <c r="R157" i="1"/>
  <c r="S157" i="1"/>
  <c r="T157" i="1"/>
  <c r="U157" i="1"/>
  <c r="O147" i="1"/>
  <c r="P147" i="1"/>
  <c r="Q147" i="1"/>
  <c r="M147" i="1"/>
  <c r="S147" i="1"/>
  <c r="T147" i="1"/>
  <c r="U147" i="1"/>
  <c r="R147" i="1"/>
  <c r="O135" i="1"/>
  <c r="P135" i="1"/>
  <c r="Q135" i="1"/>
  <c r="R135" i="1"/>
  <c r="M135" i="1"/>
  <c r="N135" i="1"/>
  <c r="S135" i="1"/>
  <c r="T135" i="1"/>
  <c r="U135" i="1"/>
  <c r="O123" i="1"/>
  <c r="P123" i="1"/>
  <c r="Q123" i="1"/>
  <c r="R123" i="1"/>
  <c r="S123" i="1"/>
  <c r="U123" i="1"/>
  <c r="M123" i="1"/>
  <c r="N123" i="1"/>
  <c r="O111" i="1"/>
  <c r="P111" i="1"/>
  <c r="Q111" i="1"/>
  <c r="R111" i="1"/>
  <c r="S111" i="1"/>
  <c r="M111" i="1"/>
  <c r="N111" i="1"/>
  <c r="T111" i="1"/>
  <c r="U111" i="1"/>
  <c r="Q99" i="1"/>
  <c r="T99" i="1"/>
  <c r="U99" i="1"/>
  <c r="M99" i="1"/>
  <c r="N99" i="1"/>
  <c r="O99" i="1"/>
  <c r="S99" i="1"/>
  <c r="R99" i="1"/>
  <c r="Q87" i="1"/>
  <c r="S87" i="1"/>
  <c r="M87" i="1"/>
  <c r="N87" i="1"/>
  <c r="O87" i="1"/>
  <c r="P87" i="1"/>
  <c r="R87" i="1"/>
  <c r="T87" i="1"/>
  <c r="T75" i="1"/>
  <c r="P75" i="1"/>
  <c r="Q75" i="1"/>
  <c r="R75" i="1"/>
  <c r="S75" i="1"/>
  <c r="O75" i="1"/>
  <c r="U75" i="1"/>
  <c r="M75" i="1"/>
  <c r="N75" i="1"/>
  <c r="T63" i="1"/>
  <c r="S63" i="1"/>
  <c r="U63" i="1"/>
  <c r="Q63" i="1"/>
  <c r="R63" i="1"/>
  <c r="M63" i="1"/>
  <c r="N63" i="1"/>
  <c r="O63" i="1"/>
  <c r="P63" i="1"/>
  <c r="T51" i="1"/>
  <c r="M51" i="1"/>
  <c r="N51" i="1"/>
  <c r="P51" i="1"/>
  <c r="Q51" i="1"/>
  <c r="R51" i="1"/>
  <c r="S51" i="1"/>
  <c r="U51" i="1"/>
  <c r="O51" i="1"/>
  <c r="T39" i="1"/>
  <c r="M39" i="1"/>
  <c r="N39" i="1"/>
  <c r="O39" i="1"/>
  <c r="P39" i="1"/>
  <c r="Q39" i="1"/>
  <c r="R39" i="1"/>
  <c r="S39" i="1"/>
  <c r="U39" i="1"/>
  <c r="R27" i="1"/>
  <c r="S27" i="1"/>
  <c r="T27" i="1"/>
  <c r="U27" i="1"/>
  <c r="P27" i="1"/>
  <c r="Q27" i="1"/>
  <c r="N27" i="1"/>
  <c r="O27" i="1"/>
  <c r="M27" i="1"/>
  <c r="R15" i="1"/>
  <c r="S15" i="1"/>
  <c r="T15" i="1"/>
  <c r="U15" i="1"/>
  <c r="P15" i="1"/>
  <c r="Q15" i="1"/>
  <c r="O15" i="1"/>
  <c r="M15" i="1"/>
  <c r="N15" i="1"/>
  <c r="R3" i="1"/>
  <c r="S3" i="1"/>
  <c r="T3" i="1"/>
  <c r="U3" i="1"/>
  <c r="M3" i="1"/>
  <c r="N3" i="1"/>
  <c r="O3" i="1"/>
  <c r="P3" i="1"/>
  <c r="Q3" i="1"/>
  <c r="O2" i="1"/>
  <c r="U209" i="1"/>
  <c r="R208" i="1"/>
  <c r="T206" i="1"/>
  <c r="M205" i="1"/>
  <c r="N204" i="1"/>
  <c r="U187" i="1"/>
  <c r="T171" i="1"/>
  <c r="R164" i="1"/>
  <c r="Q157" i="1"/>
  <c r="S149" i="1"/>
  <c r="N140" i="1"/>
  <c r="Q128" i="1"/>
  <c r="N156" i="1"/>
  <c r="O156" i="1"/>
  <c r="P156" i="1"/>
  <c r="Q156" i="1"/>
  <c r="M156" i="1"/>
  <c r="R156" i="1"/>
  <c r="S156" i="1"/>
  <c r="T156" i="1"/>
  <c r="U156" i="1"/>
  <c r="M146" i="1"/>
  <c r="N146" i="1"/>
  <c r="S146" i="1"/>
  <c r="T146" i="1"/>
  <c r="U146" i="1"/>
  <c r="O146" i="1"/>
  <c r="P146" i="1"/>
  <c r="Q146" i="1"/>
  <c r="R146" i="1"/>
  <c r="M134" i="1"/>
  <c r="N134" i="1"/>
  <c r="O134" i="1"/>
  <c r="P134" i="1"/>
  <c r="Q134" i="1"/>
  <c r="R134" i="1"/>
  <c r="U134" i="1"/>
  <c r="M122" i="1"/>
  <c r="N122" i="1"/>
  <c r="O122" i="1"/>
  <c r="P122" i="1"/>
  <c r="Q122" i="1"/>
  <c r="S122" i="1"/>
  <c r="T122" i="1"/>
  <c r="U122" i="1"/>
  <c r="R122" i="1"/>
  <c r="M110" i="1"/>
  <c r="N110" i="1"/>
  <c r="O110" i="1"/>
  <c r="P110" i="1"/>
  <c r="Q110" i="1"/>
  <c r="R110" i="1"/>
  <c r="S110" i="1"/>
  <c r="T110" i="1"/>
  <c r="U110" i="1"/>
  <c r="N98" i="1"/>
  <c r="P98" i="1"/>
  <c r="O98" i="1"/>
  <c r="Q98" i="1"/>
  <c r="R98" i="1"/>
  <c r="S98" i="1"/>
  <c r="T98" i="1"/>
  <c r="M98" i="1"/>
  <c r="U98" i="1"/>
  <c r="N86" i="1"/>
  <c r="P86" i="1"/>
  <c r="R86" i="1"/>
  <c r="S86" i="1"/>
  <c r="T86" i="1"/>
  <c r="U86" i="1"/>
  <c r="M86" i="1"/>
  <c r="O86" i="1"/>
  <c r="Q86" i="1"/>
  <c r="Q74" i="1"/>
  <c r="M74" i="1"/>
  <c r="N74" i="1"/>
  <c r="O74" i="1"/>
  <c r="U74" i="1"/>
  <c r="P74" i="1"/>
  <c r="R74" i="1"/>
  <c r="S74" i="1"/>
  <c r="T74" i="1"/>
  <c r="Q62" i="1"/>
  <c r="O62" i="1"/>
  <c r="P62" i="1"/>
  <c r="R62" i="1"/>
  <c r="S62" i="1"/>
  <c r="T62" i="1"/>
  <c r="M62" i="1"/>
  <c r="N62" i="1"/>
  <c r="U62" i="1"/>
  <c r="Q50" i="1"/>
  <c r="S50" i="1"/>
  <c r="T50" i="1"/>
  <c r="U50" i="1"/>
  <c r="N50" i="1"/>
  <c r="O50" i="1"/>
  <c r="P50" i="1"/>
  <c r="R50" i="1"/>
  <c r="M50" i="1"/>
  <c r="Q38" i="1"/>
  <c r="M38" i="1"/>
  <c r="S38" i="1"/>
  <c r="T38" i="1"/>
  <c r="U38" i="1"/>
  <c r="N38" i="1"/>
  <c r="O38" i="1"/>
  <c r="P38" i="1"/>
  <c r="R38" i="1"/>
  <c r="O14" i="1"/>
  <c r="P14" i="1"/>
  <c r="Q14" i="1"/>
  <c r="R14" i="1"/>
  <c r="S14" i="1"/>
  <c r="M14" i="1"/>
  <c r="N14" i="1"/>
  <c r="T14" i="1"/>
  <c r="U14" i="1"/>
  <c r="P2" i="1"/>
  <c r="N209" i="1"/>
  <c r="Q208" i="1"/>
  <c r="S206" i="1"/>
  <c r="T187" i="1"/>
  <c r="S171" i="1"/>
  <c r="Q164" i="1"/>
  <c r="P157" i="1"/>
  <c r="M149" i="1"/>
  <c r="R139" i="1"/>
  <c r="T123" i="1"/>
  <c r="U90" i="1"/>
  <c r="O26" i="1"/>
  <c r="P26" i="1"/>
  <c r="Q26" i="1"/>
  <c r="R26" i="1"/>
  <c r="S26" i="1"/>
  <c r="U26" i="1"/>
  <c r="T26" i="1"/>
  <c r="M26" i="1"/>
  <c r="N26" i="1"/>
  <c r="U176" i="1"/>
  <c r="P176" i="1"/>
  <c r="Q176" i="1"/>
  <c r="R176" i="1"/>
  <c r="S176" i="1"/>
  <c r="M176" i="1"/>
  <c r="U167" i="1"/>
  <c r="S167" i="1"/>
  <c r="T167" i="1"/>
  <c r="N167" i="1"/>
  <c r="O167" i="1"/>
  <c r="P167" i="1"/>
  <c r="Q167" i="1"/>
  <c r="R167" i="1"/>
  <c r="M167" i="1"/>
  <c r="U155" i="1"/>
  <c r="M155" i="1"/>
  <c r="P155" i="1"/>
  <c r="Q155" i="1"/>
  <c r="R155" i="1"/>
  <c r="S155" i="1"/>
  <c r="T155" i="1"/>
  <c r="O155" i="1"/>
  <c r="U145" i="1"/>
  <c r="M145" i="1"/>
  <c r="N145" i="1"/>
  <c r="O145" i="1"/>
  <c r="P145" i="1"/>
  <c r="T145" i="1"/>
  <c r="S145" i="1"/>
  <c r="U133" i="1"/>
  <c r="T133" i="1"/>
  <c r="M133" i="1"/>
  <c r="N133" i="1"/>
  <c r="O133" i="1"/>
  <c r="P133" i="1"/>
  <c r="U121" i="1"/>
  <c r="M121" i="1"/>
  <c r="Q121" i="1"/>
  <c r="R121" i="1"/>
  <c r="S121" i="1"/>
  <c r="T121" i="1"/>
  <c r="N121" i="1"/>
  <c r="U109" i="1"/>
  <c r="M109" i="1"/>
  <c r="T109" i="1"/>
  <c r="S109" i="1"/>
  <c r="O109" i="1"/>
  <c r="P109" i="1"/>
  <c r="Q109" i="1"/>
  <c r="R109" i="1"/>
  <c r="N109" i="1"/>
  <c r="M97" i="1"/>
  <c r="N97" i="1"/>
  <c r="O97" i="1"/>
  <c r="R97" i="1"/>
  <c r="S97" i="1"/>
  <c r="T97" i="1"/>
  <c r="U97" i="1"/>
  <c r="Q97" i="1"/>
  <c r="P97" i="1"/>
  <c r="M85" i="1"/>
  <c r="Q85" i="1"/>
  <c r="R85" i="1"/>
  <c r="S85" i="1"/>
  <c r="T85" i="1"/>
  <c r="U85" i="1"/>
  <c r="N85" i="1"/>
  <c r="O85" i="1"/>
  <c r="P85" i="1"/>
  <c r="N73" i="1"/>
  <c r="U73" i="1"/>
  <c r="P73" i="1"/>
  <c r="Q73" i="1"/>
  <c r="R73" i="1"/>
  <c r="S73" i="1"/>
  <c r="T73" i="1"/>
  <c r="O73" i="1"/>
  <c r="M73" i="1"/>
  <c r="N61" i="1"/>
  <c r="M61" i="1"/>
  <c r="O61" i="1"/>
  <c r="P61" i="1"/>
  <c r="Q61" i="1"/>
  <c r="R61" i="1"/>
  <c r="S61" i="1"/>
  <c r="T61" i="1"/>
  <c r="U61" i="1"/>
  <c r="N49" i="1"/>
  <c r="O49" i="1"/>
  <c r="P49" i="1"/>
  <c r="Q49" i="1"/>
  <c r="R49" i="1"/>
  <c r="S49" i="1"/>
  <c r="M49" i="1"/>
  <c r="T49" i="1"/>
  <c r="U49" i="1"/>
  <c r="N37" i="1"/>
  <c r="R37" i="1"/>
  <c r="S37" i="1"/>
  <c r="T37" i="1"/>
  <c r="U37" i="1"/>
  <c r="M37" i="1"/>
  <c r="P37" i="1"/>
  <c r="Q37" i="1"/>
  <c r="O37" i="1"/>
  <c r="M25" i="1"/>
  <c r="N25" i="1"/>
  <c r="O25" i="1"/>
  <c r="P25" i="1"/>
  <c r="Q25" i="1"/>
  <c r="R25" i="1"/>
  <c r="S25" i="1"/>
  <c r="T25" i="1"/>
  <c r="U25" i="1"/>
  <c r="M13" i="1"/>
  <c r="N13" i="1"/>
  <c r="O13" i="1"/>
  <c r="P13" i="1"/>
  <c r="T13" i="1"/>
  <c r="U13" i="1"/>
  <c r="Q13" i="1"/>
  <c r="R13" i="1"/>
  <c r="S13" i="1"/>
  <c r="P208" i="1"/>
  <c r="R206" i="1"/>
  <c r="S187" i="1"/>
  <c r="P182" i="1"/>
  <c r="O176" i="1"/>
  <c r="R171" i="1"/>
  <c r="P164" i="1"/>
  <c r="N157" i="1"/>
  <c r="T148" i="1"/>
  <c r="N139" i="1"/>
  <c r="P121" i="1"/>
  <c r="M88" i="1"/>
  <c r="Q32" i="1"/>
  <c r="Q185" i="1"/>
  <c r="R185" i="1"/>
  <c r="S185" i="1"/>
  <c r="T185" i="1"/>
  <c r="P185" i="1"/>
  <c r="U185" i="1"/>
  <c r="O185" i="1"/>
  <c r="M2" i="1"/>
  <c r="T2" i="1"/>
  <c r="R2" i="1"/>
  <c r="R184" i="1"/>
  <c r="U184" i="1"/>
  <c r="M184" i="1"/>
  <c r="N184" i="1"/>
  <c r="O184" i="1"/>
  <c r="R175" i="1"/>
  <c r="M175" i="1"/>
  <c r="N175" i="1"/>
  <c r="O175" i="1"/>
  <c r="P175" i="1"/>
  <c r="Q175" i="1"/>
  <c r="S175" i="1"/>
  <c r="T175" i="1"/>
  <c r="U175" i="1"/>
  <c r="R166" i="1"/>
  <c r="O166" i="1"/>
  <c r="P166" i="1"/>
  <c r="Q166" i="1"/>
  <c r="S166" i="1"/>
  <c r="N166" i="1"/>
  <c r="T166" i="1"/>
  <c r="U166" i="1"/>
  <c r="M166" i="1"/>
  <c r="R154" i="1"/>
  <c r="T154" i="1"/>
  <c r="Q154" i="1"/>
  <c r="S154" i="1"/>
  <c r="U154" i="1"/>
  <c r="M154" i="1"/>
  <c r="N154" i="1"/>
  <c r="O154" i="1"/>
  <c r="P154" i="1"/>
  <c r="R144" i="1"/>
  <c r="S144" i="1"/>
  <c r="T144" i="1"/>
  <c r="M144" i="1"/>
  <c r="N144" i="1"/>
  <c r="O144" i="1"/>
  <c r="R132" i="1"/>
  <c r="S132" i="1"/>
  <c r="T132" i="1"/>
  <c r="U132" i="1"/>
  <c r="M132" i="1"/>
  <c r="N132" i="1"/>
  <c r="O132" i="1"/>
  <c r="P132" i="1"/>
  <c r="Q132" i="1"/>
  <c r="R120" i="1"/>
  <c r="S120" i="1"/>
  <c r="T120" i="1"/>
  <c r="U120" i="1"/>
  <c r="M120" i="1"/>
  <c r="N120" i="1"/>
  <c r="O120" i="1"/>
  <c r="P120" i="1"/>
  <c r="Q120" i="1"/>
  <c r="T108" i="1"/>
  <c r="Q108" i="1"/>
  <c r="R108" i="1"/>
  <c r="S108" i="1"/>
  <c r="U108" i="1"/>
  <c r="M108" i="1"/>
  <c r="N108" i="1"/>
  <c r="O108" i="1"/>
  <c r="T96" i="1"/>
  <c r="R96" i="1"/>
  <c r="S96" i="1"/>
  <c r="U96" i="1"/>
  <c r="M96" i="1"/>
  <c r="N96" i="1"/>
  <c r="O96" i="1"/>
  <c r="T84" i="1"/>
  <c r="M84" i="1"/>
  <c r="N84" i="1"/>
  <c r="O84" i="1"/>
  <c r="P84" i="1"/>
  <c r="Q84" i="1"/>
  <c r="R84" i="1"/>
  <c r="S84" i="1"/>
  <c r="U84" i="1"/>
  <c r="Q72" i="1"/>
  <c r="R72" i="1"/>
  <c r="S72" i="1"/>
  <c r="T72" i="1"/>
  <c r="M72" i="1"/>
  <c r="N72" i="1"/>
  <c r="O72" i="1"/>
  <c r="P72" i="1"/>
  <c r="U72" i="1"/>
  <c r="T60" i="1"/>
  <c r="U60" i="1"/>
  <c r="M60" i="1"/>
  <c r="N60" i="1"/>
  <c r="O60" i="1"/>
  <c r="P60" i="1"/>
  <c r="Q60" i="1"/>
  <c r="R60" i="1"/>
  <c r="S60" i="1"/>
  <c r="M48" i="1"/>
  <c r="N48" i="1"/>
  <c r="O48" i="1"/>
  <c r="S48" i="1"/>
  <c r="T48" i="1"/>
  <c r="U48" i="1"/>
  <c r="P48" i="1"/>
  <c r="N36" i="1"/>
  <c r="O36" i="1"/>
  <c r="P36" i="1"/>
  <c r="Q36" i="1"/>
  <c r="R36" i="1"/>
  <c r="M36" i="1"/>
  <c r="S36" i="1"/>
  <c r="T36" i="1"/>
  <c r="U36" i="1"/>
  <c r="U24" i="1"/>
  <c r="M24" i="1"/>
  <c r="N24" i="1"/>
  <c r="O24" i="1"/>
  <c r="P24" i="1"/>
  <c r="Q24" i="1"/>
  <c r="R24" i="1"/>
  <c r="S24" i="1"/>
  <c r="T24" i="1"/>
  <c r="U12" i="1"/>
  <c r="M12" i="1"/>
  <c r="N12" i="1"/>
  <c r="O12" i="1"/>
  <c r="P12" i="1"/>
  <c r="Q12" i="1"/>
  <c r="R12" i="1"/>
  <c r="S12" i="1"/>
  <c r="T12" i="1"/>
  <c r="S2" i="1"/>
  <c r="Q206" i="1"/>
  <c r="Q187" i="1"/>
  <c r="O182" i="1"/>
  <c r="N176" i="1"/>
  <c r="P170" i="1"/>
  <c r="M157" i="1"/>
  <c r="S148" i="1"/>
  <c r="M139" i="1"/>
  <c r="O121" i="1"/>
  <c r="U87" i="1"/>
  <c r="M31" i="1"/>
  <c r="T177" i="1"/>
  <c r="U177" i="1"/>
  <c r="O177" i="1"/>
  <c r="P177" i="1"/>
  <c r="Q177" i="1"/>
  <c r="R177" i="1"/>
  <c r="S177" i="1"/>
  <c r="T208" i="1"/>
  <c r="M208" i="1"/>
  <c r="N208" i="1"/>
  <c r="R204" i="1"/>
  <c r="S204" i="1"/>
  <c r="T204" i="1"/>
  <c r="U204" i="1"/>
  <c r="Q204" i="1"/>
  <c r="O183" i="1"/>
  <c r="R183" i="1"/>
  <c r="S183" i="1"/>
  <c r="T183" i="1"/>
  <c r="U183" i="1"/>
  <c r="M183" i="1"/>
  <c r="N183" i="1"/>
  <c r="P183" i="1"/>
  <c r="Q183" i="1"/>
  <c r="O174" i="1"/>
  <c r="U174" i="1"/>
  <c r="T174" i="1"/>
  <c r="Q174" i="1"/>
  <c r="R174" i="1"/>
  <c r="S174" i="1"/>
  <c r="P174" i="1"/>
  <c r="O165" i="1"/>
  <c r="M165" i="1"/>
  <c r="N165" i="1"/>
  <c r="P165" i="1"/>
  <c r="Q165" i="1"/>
  <c r="R165" i="1"/>
  <c r="S165" i="1"/>
  <c r="O153" i="1"/>
  <c r="Q153" i="1"/>
  <c r="M153" i="1"/>
  <c r="N153" i="1"/>
  <c r="P153" i="1"/>
  <c r="U153" i="1"/>
  <c r="T153" i="1"/>
  <c r="O143" i="1"/>
  <c r="P143" i="1"/>
  <c r="Q143" i="1"/>
  <c r="M143" i="1"/>
  <c r="N143" i="1"/>
  <c r="R143" i="1"/>
  <c r="S143" i="1"/>
  <c r="T143" i="1"/>
  <c r="U143" i="1"/>
  <c r="O131" i="1"/>
  <c r="P131" i="1"/>
  <c r="Q131" i="1"/>
  <c r="R131" i="1"/>
  <c r="U131" i="1"/>
  <c r="T131" i="1"/>
  <c r="M131" i="1"/>
  <c r="N131" i="1"/>
  <c r="S131" i="1"/>
  <c r="O119" i="1"/>
  <c r="P119" i="1"/>
  <c r="Q119" i="1"/>
  <c r="R119" i="1"/>
  <c r="S119" i="1"/>
  <c r="M119" i="1"/>
  <c r="N119" i="1"/>
  <c r="T119" i="1"/>
  <c r="U119" i="1"/>
  <c r="Q107" i="1"/>
  <c r="M107" i="1"/>
  <c r="N107" i="1"/>
  <c r="O107" i="1"/>
  <c r="P107" i="1"/>
  <c r="R107" i="1"/>
  <c r="T107" i="1"/>
  <c r="U107" i="1"/>
  <c r="S107" i="1"/>
  <c r="Q95" i="1"/>
  <c r="S95" i="1"/>
  <c r="M95" i="1"/>
  <c r="N95" i="1"/>
  <c r="O95" i="1"/>
  <c r="P95" i="1"/>
  <c r="R95" i="1"/>
  <c r="T95" i="1"/>
  <c r="U95" i="1"/>
  <c r="Q83" i="1"/>
  <c r="S83" i="1"/>
  <c r="U83" i="1"/>
  <c r="R83" i="1"/>
  <c r="T83" i="1"/>
  <c r="O83" i="1"/>
  <c r="P83" i="1"/>
  <c r="N83" i="1"/>
  <c r="M83" i="1"/>
  <c r="T71" i="1"/>
  <c r="M71" i="1"/>
  <c r="N71" i="1"/>
  <c r="O71" i="1"/>
  <c r="P71" i="1"/>
  <c r="Q71" i="1"/>
  <c r="R71" i="1"/>
  <c r="S71" i="1"/>
  <c r="U71" i="1"/>
  <c r="T59" i="1"/>
  <c r="P59" i="1"/>
  <c r="Q59" i="1"/>
  <c r="R59" i="1"/>
  <c r="S59" i="1"/>
  <c r="U59" i="1"/>
  <c r="M59" i="1"/>
  <c r="N59" i="1"/>
  <c r="O59" i="1"/>
  <c r="T47" i="1"/>
  <c r="S47" i="1"/>
  <c r="U47" i="1"/>
  <c r="M47" i="1"/>
  <c r="N47" i="1"/>
  <c r="O47" i="1"/>
  <c r="P47" i="1"/>
  <c r="Q47" i="1"/>
  <c r="R47" i="1"/>
  <c r="T35" i="1"/>
  <c r="M35" i="1"/>
  <c r="N35" i="1"/>
  <c r="O35" i="1"/>
  <c r="P35" i="1"/>
  <c r="Q35" i="1"/>
  <c r="R35" i="1"/>
  <c r="S35" i="1"/>
  <c r="R23" i="1"/>
  <c r="S23" i="1"/>
  <c r="T23" i="1"/>
  <c r="U23" i="1"/>
  <c r="M23" i="1"/>
  <c r="N23" i="1"/>
  <c r="O23" i="1"/>
  <c r="P23" i="1"/>
  <c r="Q23" i="1"/>
  <c r="R11" i="1"/>
  <c r="S11" i="1"/>
  <c r="T11" i="1"/>
  <c r="U11" i="1"/>
  <c r="P11" i="1"/>
  <c r="Q11" i="1"/>
  <c r="O11" i="1"/>
  <c r="N11" i="1"/>
  <c r="M11" i="1"/>
  <c r="U2" i="1"/>
  <c r="R207" i="1"/>
  <c r="O197" i="1"/>
  <c r="N185" i="1"/>
  <c r="N174" i="1"/>
  <c r="T161" i="1"/>
  <c r="N155" i="1"/>
  <c r="N147" i="1"/>
  <c r="Q136" i="1"/>
  <c r="N116" i="1"/>
  <c r="P80" i="1"/>
  <c r="Q209" i="1"/>
  <c r="O209" i="1"/>
  <c r="P209" i="1"/>
  <c r="R209" i="1"/>
  <c r="S209" i="1"/>
  <c r="T209" i="1"/>
  <c r="T201" i="1"/>
  <c r="U201" i="1"/>
  <c r="M201" i="1"/>
  <c r="S201" i="1"/>
  <c r="R201" i="1"/>
  <c r="T164" i="1"/>
  <c r="U164" i="1"/>
  <c r="S164" i="1"/>
  <c r="M164" i="1"/>
  <c r="N164" i="1"/>
  <c r="M142" i="1"/>
  <c r="N142" i="1"/>
  <c r="U142" i="1"/>
  <c r="T142" i="1"/>
  <c r="P142" i="1"/>
  <c r="Q142" i="1"/>
  <c r="R142" i="1"/>
  <c r="S142" i="1"/>
  <c r="O142" i="1"/>
  <c r="M130" i="1"/>
  <c r="N130" i="1"/>
  <c r="O130" i="1"/>
  <c r="P130" i="1"/>
  <c r="Q130" i="1"/>
  <c r="R130" i="1"/>
  <c r="U130" i="1"/>
  <c r="T130" i="1"/>
  <c r="M118" i="1"/>
  <c r="N118" i="1"/>
  <c r="O118" i="1"/>
  <c r="P118" i="1"/>
  <c r="R118" i="1"/>
  <c r="S118" i="1"/>
  <c r="T118" i="1"/>
  <c r="U118" i="1"/>
  <c r="Q118" i="1"/>
  <c r="N106" i="1"/>
  <c r="M106" i="1"/>
  <c r="O106" i="1"/>
  <c r="R106" i="1"/>
  <c r="S106" i="1"/>
  <c r="T106" i="1"/>
  <c r="U106" i="1"/>
  <c r="Q106" i="1"/>
  <c r="N94" i="1"/>
  <c r="P94" i="1"/>
  <c r="S94" i="1"/>
  <c r="T94" i="1"/>
  <c r="U94" i="1"/>
  <c r="M94" i="1"/>
  <c r="O94" i="1"/>
  <c r="Q94" i="1"/>
  <c r="R94" i="1"/>
  <c r="N82" i="1"/>
  <c r="P82" i="1"/>
  <c r="O82" i="1"/>
  <c r="Q82" i="1"/>
  <c r="R82" i="1"/>
  <c r="S82" i="1"/>
  <c r="T82" i="1"/>
  <c r="M82" i="1"/>
  <c r="U82" i="1"/>
  <c r="Q70" i="1"/>
  <c r="M70" i="1"/>
  <c r="U70" i="1"/>
  <c r="T70" i="1"/>
  <c r="P70" i="1"/>
  <c r="R70" i="1"/>
  <c r="S70" i="1"/>
  <c r="O70" i="1"/>
  <c r="Q58" i="1"/>
  <c r="M58" i="1"/>
  <c r="N58" i="1"/>
  <c r="O58" i="1"/>
  <c r="P58" i="1"/>
  <c r="T58" i="1"/>
  <c r="U58" i="1"/>
  <c r="R58" i="1"/>
  <c r="S58" i="1"/>
  <c r="Q46" i="1"/>
  <c r="O46" i="1"/>
  <c r="P46" i="1"/>
  <c r="R46" i="1"/>
  <c r="S46" i="1"/>
  <c r="T46" i="1"/>
  <c r="M46" i="1"/>
  <c r="N46" i="1"/>
  <c r="U46" i="1"/>
  <c r="Q34" i="1"/>
  <c r="S34" i="1"/>
  <c r="T34" i="1"/>
  <c r="U34" i="1"/>
  <c r="M34" i="1"/>
  <c r="N34" i="1"/>
  <c r="O34" i="1"/>
  <c r="P34" i="1"/>
  <c r="R34" i="1"/>
  <c r="O22" i="1"/>
  <c r="P22" i="1"/>
  <c r="Q22" i="1"/>
  <c r="R22" i="1"/>
  <c r="S22" i="1"/>
  <c r="M22" i="1"/>
  <c r="N22" i="1"/>
  <c r="T22" i="1"/>
  <c r="U22" i="1"/>
  <c r="O10" i="1"/>
  <c r="P10" i="1"/>
  <c r="Q10" i="1"/>
  <c r="R10" i="1"/>
  <c r="S10" i="1"/>
  <c r="M10" i="1"/>
  <c r="N10" i="1"/>
  <c r="T10" i="1"/>
  <c r="Q207" i="1"/>
  <c r="P203" i="1"/>
  <c r="P201" i="1"/>
  <c r="M185" i="1"/>
  <c r="M174" i="1"/>
  <c r="S161" i="1"/>
  <c r="S153" i="1"/>
  <c r="R145" i="1"/>
  <c r="T134" i="1"/>
  <c r="S113" i="1"/>
  <c r="M78" i="1"/>
  <c r="Q202" i="1"/>
  <c r="R202" i="1"/>
  <c r="N202" i="1"/>
  <c r="O202" i="1"/>
  <c r="P202" i="1"/>
  <c r="S202" i="1"/>
  <c r="T202" i="1"/>
  <c r="U173" i="1"/>
  <c r="M173" i="1"/>
  <c r="N173" i="1"/>
  <c r="O173" i="1"/>
  <c r="P173" i="1"/>
  <c r="T173" i="1"/>
  <c r="U163" i="1"/>
  <c r="P163" i="1"/>
  <c r="Q163" i="1"/>
  <c r="R163" i="1"/>
  <c r="S163" i="1"/>
  <c r="M163" i="1"/>
  <c r="N163" i="1"/>
  <c r="O163" i="1"/>
  <c r="T163" i="1"/>
  <c r="U152" i="1"/>
  <c r="P152" i="1"/>
  <c r="Q152" i="1"/>
  <c r="R152" i="1"/>
  <c r="S152" i="1"/>
  <c r="O152" i="1"/>
  <c r="T152" i="1"/>
  <c r="N152" i="1"/>
  <c r="M152" i="1"/>
  <c r="U141" i="1"/>
  <c r="P141" i="1"/>
  <c r="Q141" i="1"/>
  <c r="R141" i="1"/>
  <c r="S141" i="1"/>
  <c r="M141" i="1"/>
  <c r="N141" i="1"/>
  <c r="O141" i="1"/>
  <c r="U129" i="1"/>
  <c r="T129" i="1"/>
  <c r="O129" i="1"/>
  <c r="P129" i="1"/>
  <c r="Q129" i="1"/>
  <c r="R129" i="1"/>
  <c r="S129" i="1"/>
  <c r="N129" i="1"/>
  <c r="U117" i="1"/>
  <c r="M117" i="1"/>
  <c r="N117" i="1"/>
  <c r="O117" i="1"/>
  <c r="P117" i="1"/>
  <c r="Q117" i="1"/>
  <c r="R117" i="1"/>
  <c r="S117" i="1"/>
  <c r="T117" i="1"/>
  <c r="R105" i="1"/>
  <c r="S105" i="1"/>
  <c r="T105" i="1"/>
  <c r="U105" i="1"/>
  <c r="N105" i="1"/>
  <c r="O105" i="1"/>
  <c r="P105" i="1"/>
  <c r="Q105" i="1"/>
  <c r="M93" i="1"/>
  <c r="Q93" i="1"/>
  <c r="R93" i="1"/>
  <c r="S93" i="1"/>
  <c r="T93" i="1"/>
  <c r="U93" i="1"/>
  <c r="O93" i="1"/>
  <c r="P93" i="1"/>
  <c r="N93" i="1"/>
  <c r="M81" i="1"/>
  <c r="N81" i="1"/>
  <c r="O81" i="1"/>
  <c r="P81" i="1"/>
  <c r="Q81" i="1"/>
  <c r="R81" i="1"/>
  <c r="S81" i="1"/>
  <c r="T81" i="1"/>
  <c r="U81" i="1"/>
  <c r="N69" i="1"/>
  <c r="R69" i="1"/>
  <c r="S69" i="1"/>
  <c r="T69" i="1"/>
  <c r="U69" i="1"/>
  <c r="M69" i="1"/>
  <c r="O69" i="1"/>
  <c r="P69" i="1"/>
  <c r="Q69" i="1"/>
  <c r="N57" i="1"/>
  <c r="U57" i="1"/>
  <c r="M57" i="1"/>
  <c r="O57" i="1"/>
  <c r="T57" i="1"/>
  <c r="S57" i="1"/>
  <c r="P57" i="1"/>
  <c r="Q57" i="1"/>
  <c r="R57" i="1"/>
  <c r="N45" i="1"/>
  <c r="M45" i="1"/>
  <c r="O45" i="1"/>
  <c r="P45" i="1"/>
  <c r="S45" i="1"/>
  <c r="T45" i="1"/>
  <c r="U45" i="1"/>
  <c r="R45" i="1"/>
  <c r="Q45" i="1"/>
  <c r="N33" i="1"/>
  <c r="O33" i="1"/>
  <c r="P33" i="1"/>
  <c r="Q33" i="1"/>
  <c r="R33" i="1"/>
  <c r="S33" i="1"/>
  <c r="U33" i="1"/>
  <c r="M33" i="1"/>
  <c r="T33" i="1"/>
  <c r="M21" i="1"/>
  <c r="N21" i="1"/>
  <c r="O21" i="1"/>
  <c r="P21" i="1"/>
  <c r="Q21" i="1"/>
  <c r="R21" i="1"/>
  <c r="S21" i="1"/>
  <c r="T21" i="1"/>
  <c r="U21" i="1"/>
  <c r="M9" i="1"/>
  <c r="N9" i="1"/>
  <c r="O9" i="1"/>
  <c r="P9" i="1"/>
  <c r="Q9" i="1"/>
  <c r="R9" i="1"/>
  <c r="S9" i="1"/>
  <c r="T9" i="1"/>
  <c r="U9" i="1"/>
  <c r="P207" i="1"/>
  <c r="M203" i="1"/>
  <c r="M202" i="1"/>
  <c r="O201" i="1"/>
  <c r="U191" i="1"/>
  <c r="T184" i="1"/>
  <c r="R180" i="1"/>
  <c r="R161" i="1"/>
  <c r="R153" i="1"/>
  <c r="Q145" i="1"/>
  <c r="S134" i="1"/>
  <c r="R113" i="1"/>
  <c r="P77" i="1"/>
  <c r="D113" i="1"/>
  <c r="AC5" i="1" l="1"/>
  <c r="AG5" i="1"/>
  <c r="AF5" i="1"/>
  <c r="AE5" i="1"/>
  <c r="AD5" i="1"/>
  <c r="AC2" i="1"/>
  <c r="AF2" i="1"/>
  <c r="AG2" i="1"/>
  <c r="AE2" i="1"/>
  <c r="AD2" i="1"/>
  <c r="AE188" i="1"/>
  <c r="AC188" i="1" s="1"/>
  <c r="AF188" i="1"/>
  <c r="AG188" i="1"/>
  <c r="AD188" i="1"/>
  <c r="AC82" i="1"/>
  <c r="AF82" i="1"/>
  <c r="AG82" i="1"/>
  <c r="AE82" i="1"/>
  <c r="AD82" i="1"/>
  <c r="AC40" i="1"/>
  <c r="AF40" i="1"/>
  <c r="AG40" i="1"/>
  <c r="AE40" i="1"/>
  <c r="AD40" i="1"/>
  <c r="AG125" i="1"/>
  <c r="AF125" i="1"/>
  <c r="AE125" i="1"/>
  <c r="AC125" i="1" s="1"/>
  <c r="AD125" i="1"/>
  <c r="AC54" i="1"/>
  <c r="AF54" i="1"/>
  <c r="AG54" i="1"/>
  <c r="AE54" i="1"/>
  <c r="AD54" i="1"/>
  <c r="AC7" i="1"/>
  <c r="AE7" i="1"/>
  <c r="AF7" i="1"/>
  <c r="AG7" i="1"/>
  <c r="AD7" i="1"/>
  <c r="AC150" i="1"/>
  <c r="AF150" i="1"/>
  <c r="AG150" i="1"/>
  <c r="AE150" i="1"/>
  <c r="AD150" i="1"/>
  <c r="AC92" i="1"/>
  <c r="AE92" i="1"/>
  <c r="AD92" i="1" s="1"/>
  <c r="AF92" i="1"/>
  <c r="AG92" i="1"/>
  <c r="AC9" i="1"/>
  <c r="AF9" i="1"/>
  <c r="AG9" i="1"/>
  <c r="AE9" i="1"/>
  <c r="AD9" i="1" s="1"/>
  <c r="AC152" i="1"/>
  <c r="AE152" i="1"/>
  <c r="AF152" i="1"/>
  <c r="AG152" i="1"/>
  <c r="AD152" i="1"/>
  <c r="AC38" i="1"/>
  <c r="AE38" i="1"/>
  <c r="AF38" i="1"/>
  <c r="AG38" i="1"/>
  <c r="AD38" i="1"/>
  <c r="AG185" i="1"/>
  <c r="AF185" i="1"/>
  <c r="AE185" i="1"/>
  <c r="AC185" i="1" s="1"/>
  <c r="AD185" i="1"/>
  <c r="AC15" i="1"/>
  <c r="AF15" i="1"/>
  <c r="AG15" i="1"/>
  <c r="AE15" i="1"/>
  <c r="AD15" i="1"/>
  <c r="AC60" i="1"/>
  <c r="AG60" i="1"/>
  <c r="AE60" i="1"/>
  <c r="AF60" i="1"/>
  <c r="AD60" i="1"/>
  <c r="AC108" i="1"/>
  <c r="AE108" i="1"/>
  <c r="AF108" i="1"/>
  <c r="AG108" i="1"/>
  <c r="AD108" i="1"/>
  <c r="AC39" i="1"/>
  <c r="AF39" i="1"/>
  <c r="AG39" i="1"/>
  <c r="AE39" i="1"/>
  <c r="AD39" i="1"/>
  <c r="AC25" i="1"/>
  <c r="AE25" i="1"/>
  <c r="AG25" i="1"/>
  <c r="AF25" i="1"/>
  <c r="AD25" i="1"/>
  <c r="AC126" i="1"/>
  <c r="AG126" i="1"/>
  <c r="AF126" i="1"/>
  <c r="AE126" i="1"/>
  <c r="AD126" i="1"/>
  <c r="AC81" i="1"/>
  <c r="AF81" i="1"/>
  <c r="AG81" i="1"/>
  <c r="AE81" i="1"/>
  <c r="AD81" i="1"/>
  <c r="AC110" i="1"/>
  <c r="AE110" i="1"/>
  <c r="AD110" i="1" s="1"/>
  <c r="AF110" i="1"/>
  <c r="AG110" i="1"/>
  <c r="AC187" i="1"/>
  <c r="AG187" i="1"/>
  <c r="AF187" i="1"/>
  <c r="AE187" i="1"/>
  <c r="AD187" i="1"/>
  <c r="AG107" i="1"/>
  <c r="AF107" i="1"/>
  <c r="AE107" i="1"/>
  <c r="AC107" i="1" s="1"/>
  <c r="AD107" i="1"/>
  <c r="AC52" i="1"/>
  <c r="AF52" i="1"/>
  <c r="AG52" i="1"/>
  <c r="AE52" i="1"/>
  <c r="AD52" i="1"/>
  <c r="AF197" i="1"/>
  <c r="AG197" i="1"/>
  <c r="AE197" i="1"/>
  <c r="AC197" i="1" s="1"/>
  <c r="AD197" i="1"/>
  <c r="AG137" i="1"/>
  <c r="AF137" i="1"/>
  <c r="AE137" i="1"/>
  <c r="AC137" i="1" s="1"/>
  <c r="AD137" i="1"/>
  <c r="AC66" i="1"/>
  <c r="AF66" i="1"/>
  <c r="AG66" i="1"/>
  <c r="AE66" i="1"/>
  <c r="AD66" i="1"/>
  <c r="AC19" i="1"/>
  <c r="AE19" i="1"/>
  <c r="AF19" i="1"/>
  <c r="AG19" i="1"/>
  <c r="AD19" i="1"/>
  <c r="AC161" i="1"/>
  <c r="AG161" i="1"/>
  <c r="AF161" i="1"/>
  <c r="AE161" i="1"/>
  <c r="AD161" i="1"/>
  <c r="AC104" i="1"/>
  <c r="AE104" i="1"/>
  <c r="AF104" i="1"/>
  <c r="AG104" i="1"/>
  <c r="AD104" i="1"/>
  <c r="AC21" i="1"/>
  <c r="AF21" i="1"/>
  <c r="AG21" i="1"/>
  <c r="AE21" i="1"/>
  <c r="AD21" i="1"/>
  <c r="AE163" i="1"/>
  <c r="AC163" i="1" s="1"/>
  <c r="AG163" i="1"/>
  <c r="AF163" i="1"/>
  <c r="AD163" i="1"/>
  <c r="AC119" i="1"/>
  <c r="AG119" i="1"/>
  <c r="AF119" i="1"/>
  <c r="AE119" i="1"/>
  <c r="AD119" i="1"/>
  <c r="AC50" i="1"/>
  <c r="AE50" i="1"/>
  <c r="AF50" i="1"/>
  <c r="AG50" i="1"/>
  <c r="AD50" i="1"/>
  <c r="AC12" i="1"/>
  <c r="AG12" i="1"/>
  <c r="AE12" i="1"/>
  <c r="AF12" i="1"/>
  <c r="AD12" i="1"/>
  <c r="AC51" i="1"/>
  <c r="AF51" i="1"/>
  <c r="AG51" i="1"/>
  <c r="AE51" i="1"/>
  <c r="AD51" i="1"/>
  <c r="AE96" i="1"/>
  <c r="AC96" i="1" s="1"/>
  <c r="AG96" i="1"/>
  <c r="AF96" i="1"/>
  <c r="AD96" i="1"/>
  <c r="AC144" i="1"/>
  <c r="AF144" i="1"/>
  <c r="AE144" i="1"/>
  <c r="AG144" i="1"/>
  <c r="AD144" i="1"/>
  <c r="AF147" i="1"/>
  <c r="AG147" i="1"/>
  <c r="AE147" i="1"/>
  <c r="AC147" i="1" s="1"/>
  <c r="AD147" i="1"/>
  <c r="AC133" i="1"/>
  <c r="AE133" i="1"/>
  <c r="AF133" i="1"/>
  <c r="AG133" i="1"/>
  <c r="AD133" i="1"/>
  <c r="AC74" i="1"/>
  <c r="AE74" i="1"/>
  <c r="AF74" i="1"/>
  <c r="AG74" i="1"/>
  <c r="AD74" i="1"/>
  <c r="AC112" i="1"/>
  <c r="AF112" i="1"/>
  <c r="AG112" i="1"/>
  <c r="AE112" i="1"/>
  <c r="AD112" i="1"/>
  <c r="AC106" i="1"/>
  <c r="AF106" i="1"/>
  <c r="AG106" i="1"/>
  <c r="AE106" i="1"/>
  <c r="AD106" i="1" s="1"/>
  <c r="AC64" i="1"/>
  <c r="AF64" i="1"/>
  <c r="AG64" i="1"/>
  <c r="AE64" i="1"/>
  <c r="AD64" i="1"/>
  <c r="AC207" i="1"/>
  <c r="AF207" i="1"/>
  <c r="AG207" i="1"/>
  <c r="AE207" i="1"/>
  <c r="AD207" i="1"/>
  <c r="AC148" i="1"/>
  <c r="AF148" i="1"/>
  <c r="AG148" i="1"/>
  <c r="AE148" i="1"/>
  <c r="AD148" i="1"/>
  <c r="AC78" i="1"/>
  <c r="AG78" i="1"/>
  <c r="AF78" i="1"/>
  <c r="AE78" i="1"/>
  <c r="AD78" i="1"/>
  <c r="AC31" i="1"/>
  <c r="AE31" i="1"/>
  <c r="AF31" i="1"/>
  <c r="AG31" i="1"/>
  <c r="AD31" i="1"/>
  <c r="AE181" i="1"/>
  <c r="AC181" i="1" s="1"/>
  <c r="AG181" i="1"/>
  <c r="AF181" i="1"/>
  <c r="AD181" i="1"/>
  <c r="AE116" i="1"/>
  <c r="AC116" i="1" s="1"/>
  <c r="AF116" i="1"/>
  <c r="AG116" i="1"/>
  <c r="AD116" i="1"/>
  <c r="AC33" i="1"/>
  <c r="AF33" i="1"/>
  <c r="AG33" i="1"/>
  <c r="AE33" i="1"/>
  <c r="AD33" i="1"/>
  <c r="AG173" i="1"/>
  <c r="AF173" i="1"/>
  <c r="AE173" i="1"/>
  <c r="AD173" i="1"/>
  <c r="AG131" i="1"/>
  <c r="AF131" i="1"/>
  <c r="AE131" i="1"/>
  <c r="AC131" i="1" s="1"/>
  <c r="AD131" i="1"/>
  <c r="AC62" i="1"/>
  <c r="AE62" i="1"/>
  <c r="AF62" i="1"/>
  <c r="AG62" i="1"/>
  <c r="AD62" i="1"/>
  <c r="AC48" i="1"/>
  <c r="AE48" i="1"/>
  <c r="AG48" i="1"/>
  <c r="AF48" i="1"/>
  <c r="AD48" i="1"/>
  <c r="AC87" i="1"/>
  <c r="AF87" i="1"/>
  <c r="AG87" i="1"/>
  <c r="AE87" i="1"/>
  <c r="AD87" i="1"/>
  <c r="AC132" i="1"/>
  <c r="AF132" i="1"/>
  <c r="AE132" i="1"/>
  <c r="AG132" i="1"/>
  <c r="AD132" i="1"/>
  <c r="AC175" i="1"/>
  <c r="AE175" i="1"/>
  <c r="AF175" i="1"/>
  <c r="AG175" i="1"/>
  <c r="AD175" i="1"/>
  <c r="AC61" i="1"/>
  <c r="AE61" i="1"/>
  <c r="AF61" i="1"/>
  <c r="AG61" i="1"/>
  <c r="AD61" i="1"/>
  <c r="AF178" i="1"/>
  <c r="AG178" i="1"/>
  <c r="AE178" i="1"/>
  <c r="AC178" i="1" s="1"/>
  <c r="AD178" i="1"/>
  <c r="AC90" i="1"/>
  <c r="AG90" i="1"/>
  <c r="AF90" i="1"/>
  <c r="AE90" i="1"/>
  <c r="AD90" i="1"/>
  <c r="AF143" i="1"/>
  <c r="AE143" i="1"/>
  <c r="AC143" i="1" s="1"/>
  <c r="AG143" i="1"/>
  <c r="AD143" i="1"/>
  <c r="AC84" i="1"/>
  <c r="AF84" i="1"/>
  <c r="AE84" i="1"/>
  <c r="AG84" i="1"/>
  <c r="AD84" i="1"/>
  <c r="AC88" i="1"/>
  <c r="AF88" i="1"/>
  <c r="AG88" i="1"/>
  <c r="AE88" i="1"/>
  <c r="AD88" i="1"/>
  <c r="AC17" i="1"/>
  <c r="AG17" i="1"/>
  <c r="AF17" i="1"/>
  <c r="AE17" i="1"/>
  <c r="AD17" i="1"/>
  <c r="AE170" i="1"/>
  <c r="AC170" i="1" s="1"/>
  <c r="AF170" i="1"/>
  <c r="AG170" i="1"/>
  <c r="AD170" i="1"/>
  <c r="AC102" i="1"/>
  <c r="AF102" i="1"/>
  <c r="AG102" i="1"/>
  <c r="AE102" i="1"/>
  <c r="AD102" i="1"/>
  <c r="AC55" i="1"/>
  <c r="AE55" i="1"/>
  <c r="AF55" i="1"/>
  <c r="AG55" i="1"/>
  <c r="AD55" i="1"/>
  <c r="AC140" i="1"/>
  <c r="AE140" i="1"/>
  <c r="AF140" i="1"/>
  <c r="AG140" i="1"/>
  <c r="AD140" i="1"/>
  <c r="AC57" i="1"/>
  <c r="AF57" i="1"/>
  <c r="AG57" i="1"/>
  <c r="AE57" i="1"/>
  <c r="AD57" i="1"/>
  <c r="AC11" i="1"/>
  <c r="AF11" i="1"/>
  <c r="AE11" i="1"/>
  <c r="AG11" i="1"/>
  <c r="AD11" i="1"/>
  <c r="AF153" i="1"/>
  <c r="AG153" i="1"/>
  <c r="AE153" i="1"/>
  <c r="AC153" i="1" s="1"/>
  <c r="AD153" i="1"/>
  <c r="AC86" i="1"/>
  <c r="AE86" i="1"/>
  <c r="AF86" i="1"/>
  <c r="AG86" i="1"/>
  <c r="AD86" i="1"/>
  <c r="AE120" i="1"/>
  <c r="AC120" i="1" s="1"/>
  <c r="AF120" i="1"/>
  <c r="AG120" i="1"/>
  <c r="AD120" i="1"/>
  <c r="AC157" i="1"/>
  <c r="AE157" i="1"/>
  <c r="AF157" i="1"/>
  <c r="AG157" i="1"/>
  <c r="AD157" i="1"/>
  <c r="AC34" i="1"/>
  <c r="AF34" i="1"/>
  <c r="AG34" i="1"/>
  <c r="AE34" i="1"/>
  <c r="AD34" i="1"/>
  <c r="AC10" i="1"/>
  <c r="AF10" i="1"/>
  <c r="AG10" i="1"/>
  <c r="AE10" i="1"/>
  <c r="AD10" i="1"/>
  <c r="AC63" i="1"/>
  <c r="AF63" i="1"/>
  <c r="AG63" i="1"/>
  <c r="AE63" i="1"/>
  <c r="AD63" i="1"/>
  <c r="AC75" i="1"/>
  <c r="AF75" i="1"/>
  <c r="AG75" i="1"/>
  <c r="AE75" i="1"/>
  <c r="AD75" i="1"/>
  <c r="AF159" i="1"/>
  <c r="AG159" i="1"/>
  <c r="AE159" i="1"/>
  <c r="AC159" i="1" s="1"/>
  <c r="AD159" i="1"/>
  <c r="AC123" i="1"/>
  <c r="AF123" i="1"/>
  <c r="AG123" i="1"/>
  <c r="AE123" i="1"/>
  <c r="AD123" i="1"/>
  <c r="AC100" i="1"/>
  <c r="AF100" i="1"/>
  <c r="AG100" i="1"/>
  <c r="AE100" i="1"/>
  <c r="AD100" i="1"/>
  <c r="AC29" i="1"/>
  <c r="AG29" i="1"/>
  <c r="AF29" i="1"/>
  <c r="AE29" i="1"/>
  <c r="AD29" i="1"/>
  <c r="AE180" i="1"/>
  <c r="AC180" i="1" s="1"/>
  <c r="AF180" i="1"/>
  <c r="AG180" i="1"/>
  <c r="AD180" i="1"/>
  <c r="AF114" i="1"/>
  <c r="AG114" i="1"/>
  <c r="AE114" i="1"/>
  <c r="AC114" i="1" s="1"/>
  <c r="AD114" i="1"/>
  <c r="AC67" i="1"/>
  <c r="AE67" i="1"/>
  <c r="AD67" i="1" s="1"/>
  <c r="AF67" i="1"/>
  <c r="AG67" i="1"/>
  <c r="AC8" i="1"/>
  <c r="AE8" i="1"/>
  <c r="AF8" i="1"/>
  <c r="AG8" i="1"/>
  <c r="AD8" i="1"/>
  <c r="AC151" i="1"/>
  <c r="AE151" i="1"/>
  <c r="AF151" i="1"/>
  <c r="AG151" i="1"/>
  <c r="AD151" i="1"/>
  <c r="AC69" i="1"/>
  <c r="AF69" i="1"/>
  <c r="AG69" i="1"/>
  <c r="AE69" i="1"/>
  <c r="AD69" i="1"/>
  <c r="AC23" i="1"/>
  <c r="AG23" i="1"/>
  <c r="AF23" i="1"/>
  <c r="AE23" i="1"/>
  <c r="AD23" i="1"/>
  <c r="AF165" i="1"/>
  <c r="AG165" i="1"/>
  <c r="AE165" i="1"/>
  <c r="AD165" i="1"/>
  <c r="AC98" i="1"/>
  <c r="AE98" i="1"/>
  <c r="AF98" i="1"/>
  <c r="AG98" i="1"/>
  <c r="AD98" i="1"/>
  <c r="AC154" i="1"/>
  <c r="AF154" i="1"/>
  <c r="AG154" i="1"/>
  <c r="AE154" i="1"/>
  <c r="AD154" i="1"/>
  <c r="AF186" i="1"/>
  <c r="AG186" i="1"/>
  <c r="AE186" i="1"/>
  <c r="AC186" i="1" s="1"/>
  <c r="AF70" i="1"/>
  <c r="AG70" i="1"/>
  <c r="AE70" i="1"/>
  <c r="AD70" i="1"/>
  <c r="AC46" i="1"/>
  <c r="AF46" i="1"/>
  <c r="AG46" i="1"/>
  <c r="AE46" i="1"/>
  <c r="AD46" i="1"/>
  <c r="AF168" i="1"/>
  <c r="AG168" i="1"/>
  <c r="AE168" i="1"/>
  <c r="AC168" i="1" s="1"/>
  <c r="AD168" i="1"/>
  <c r="AF190" i="1"/>
  <c r="AE190" i="1"/>
  <c r="AC190" i="1" s="1"/>
  <c r="AG190" i="1"/>
  <c r="AD190" i="1"/>
  <c r="AC202" i="1"/>
  <c r="AF202" i="1"/>
  <c r="AE202" i="1"/>
  <c r="AG202" i="1"/>
  <c r="AD202" i="1"/>
  <c r="AC166" i="1"/>
  <c r="AF166" i="1"/>
  <c r="AG166" i="1"/>
  <c r="AE166" i="1"/>
  <c r="AD166" i="1"/>
  <c r="AC41" i="1"/>
  <c r="AG41" i="1"/>
  <c r="AF41" i="1"/>
  <c r="AE41" i="1"/>
  <c r="AD41" i="1"/>
  <c r="AC79" i="1"/>
  <c r="AE79" i="1"/>
  <c r="AF79" i="1"/>
  <c r="AG79" i="1"/>
  <c r="AD79" i="1"/>
  <c r="AG162" i="1"/>
  <c r="AF162" i="1"/>
  <c r="AE162" i="1"/>
  <c r="AD162" i="1"/>
  <c r="AF174" i="1"/>
  <c r="AG174" i="1"/>
  <c r="AE174" i="1"/>
  <c r="AC174" i="1" s="1"/>
  <c r="AD174" i="1"/>
  <c r="AC73" i="1"/>
  <c r="AE73" i="1"/>
  <c r="AG73" i="1"/>
  <c r="AF73" i="1"/>
  <c r="AD73" i="1"/>
  <c r="AC124" i="1"/>
  <c r="AF124" i="1"/>
  <c r="AG124" i="1"/>
  <c r="AE124" i="1"/>
  <c r="AD124" i="1" s="1"/>
  <c r="AC53" i="1"/>
  <c r="AG53" i="1"/>
  <c r="AF53" i="1"/>
  <c r="AE53" i="1"/>
  <c r="AD53" i="1"/>
  <c r="AE205" i="1"/>
  <c r="AC205" i="1" s="1"/>
  <c r="AG205" i="1"/>
  <c r="AF205" i="1"/>
  <c r="AD205" i="1"/>
  <c r="AC138" i="1"/>
  <c r="AG138" i="1"/>
  <c r="AF138" i="1"/>
  <c r="AE138" i="1"/>
  <c r="AD138" i="1"/>
  <c r="AC91" i="1"/>
  <c r="AE91" i="1"/>
  <c r="AF91" i="1"/>
  <c r="AG91" i="1"/>
  <c r="AD91" i="1"/>
  <c r="AC32" i="1"/>
  <c r="AE32" i="1"/>
  <c r="AF32" i="1"/>
  <c r="AG32" i="1"/>
  <c r="AD32" i="1"/>
  <c r="AF172" i="1"/>
  <c r="AG172" i="1"/>
  <c r="AE172" i="1"/>
  <c r="AC172" i="1" s="1"/>
  <c r="AD172" i="1"/>
  <c r="AC93" i="1"/>
  <c r="AF93" i="1"/>
  <c r="AG93" i="1"/>
  <c r="AE93" i="1"/>
  <c r="AD93" i="1"/>
  <c r="AC47" i="1"/>
  <c r="AG47" i="1"/>
  <c r="AF47" i="1"/>
  <c r="AE47" i="1"/>
  <c r="AD47" i="1"/>
  <c r="AF183" i="1"/>
  <c r="AG183" i="1"/>
  <c r="AE183" i="1"/>
  <c r="AC183" i="1" s="1"/>
  <c r="AD183" i="1"/>
  <c r="AE122" i="1"/>
  <c r="AF122" i="1"/>
  <c r="AG122" i="1"/>
  <c r="AD122" i="1"/>
  <c r="AC13" i="1"/>
  <c r="AE13" i="1"/>
  <c r="AF13" i="1"/>
  <c r="AG13" i="1"/>
  <c r="AD13" i="1"/>
  <c r="AC58" i="1"/>
  <c r="AF58" i="1"/>
  <c r="AG58" i="1"/>
  <c r="AE58" i="1"/>
  <c r="AD58" i="1" s="1"/>
  <c r="AF142" i="1"/>
  <c r="AG142" i="1"/>
  <c r="AE142" i="1"/>
  <c r="AC142" i="1" s="1"/>
  <c r="AD142" i="1"/>
  <c r="AF118" i="1"/>
  <c r="AG118" i="1"/>
  <c r="AE118" i="1"/>
  <c r="AC176" i="1"/>
  <c r="AE176" i="1"/>
  <c r="AF176" i="1"/>
  <c r="AG176" i="1"/>
  <c r="AD176" i="1"/>
  <c r="AF195" i="1"/>
  <c r="AG195" i="1"/>
  <c r="AE195" i="1"/>
  <c r="AD195" i="1"/>
  <c r="AC136" i="1"/>
  <c r="AF136" i="1"/>
  <c r="AG136" i="1"/>
  <c r="AE136" i="1"/>
  <c r="AD136" i="1"/>
  <c r="AC65" i="1"/>
  <c r="AG65" i="1"/>
  <c r="AF65" i="1"/>
  <c r="AE65" i="1"/>
  <c r="AD65" i="1"/>
  <c r="AC6" i="1"/>
  <c r="AF6" i="1"/>
  <c r="AG6" i="1"/>
  <c r="AE6" i="1"/>
  <c r="AD6" i="1"/>
  <c r="AC149" i="1"/>
  <c r="AG149" i="1"/>
  <c r="AF149" i="1"/>
  <c r="AE149" i="1"/>
  <c r="AD149" i="1"/>
  <c r="AC103" i="1"/>
  <c r="AE103" i="1"/>
  <c r="AF103" i="1"/>
  <c r="AG103" i="1"/>
  <c r="AD103" i="1"/>
  <c r="AC44" i="1"/>
  <c r="AE44" i="1"/>
  <c r="AF44" i="1"/>
  <c r="AG44" i="1"/>
  <c r="AD44" i="1"/>
  <c r="AG191" i="1"/>
  <c r="AE191" i="1"/>
  <c r="AC191" i="1" s="1"/>
  <c r="AF191" i="1"/>
  <c r="AD191" i="1"/>
  <c r="AC105" i="1"/>
  <c r="AF105" i="1"/>
  <c r="AG105" i="1"/>
  <c r="AE105" i="1"/>
  <c r="AD105" i="1"/>
  <c r="AC59" i="1"/>
  <c r="AG59" i="1"/>
  <c r="AF59" i="1"/>
  <c r="AE59" i="1"/>
  <c r="AD59" i="1"/>
  <c r="AF204" i="1"/>
  <c r="AE204" i="1"/>
  <c r="AC204" i="1" s="1"/>
  <c r="AG204" i="1"/>
  <c r="AD204" i="1"/>
  <c r="AC134" i="1"/>
  <c r="AE134" i="1"/>
  <c r="AF134" i="1"/>
  <c r="AG134" i="1"/>
  <c r="AD134" i="1"/>
  <c r="AC49" i="1"/>
  <c r="AE49" i="1"/>
  <c r="AF49" i="1"/>
  <c r="AG49" i="1"/>
  <c r="AD49" i="1"/>
  <c r="AC94" i="1"/>
  <c r="AF94" i="1"/>
  <c r="AG94" i="1"/>
  <c r="AE94" i="1"/>
  <c r="AD94" i="1"/>
  <c r="AF201" i="1"/>
  <c r="AG201" i="1"/>
  <c r="AE201" i="1"/>
  <c r="AC201" i="1" s="1"/>
  <c r="AD201" i="1"/>
  <c r="AC27" i="1"/>
  <c r="AF27" i="1"/>
  <c r="AG27" i="1"/>
  <c r="AE27" i="1"/>
  <c r="AD27" i="1"/>
  <c r="AC97" i="1"/>
  <c r="AE97" i="1"/>
  <c r="AF97" i="1"/>
  <c r="AG97" i="1"/>
  <c r="AD97" i="1"/>
  <c r="AE182" i="1"/>
  <c r="AC182" i="1" s="1"/>
  <c r="AG182" i="1"/>
  <c r="AF182" i="1"/>
  <c r="AC76" i="1"/>
  <c r="AF76" i="1"/>
  <c r="AG76" i="1"/>
  <c r="AE76" i="1"/>
  <c r="AD76" i="1"/>
  <c r="AE128" i="1"/>
  <c r="AC128" i="1" s="1"/>
  <c r="AF128" i="1"/>
  <c r="AG128" i="1"/>
  <c r="AD128" i="1"/>
  <c r="AF99" i="1"/>
  <c r="AG99" i="1"/>
  <c r="AE99" i="1"/>
  <c r="AD99" i="1"/>
  <c r="AC20" i="1"/>
  <c r="AE20" i="1"/>
  <c r="AF20" i="1"/>
  <c r="AG20" i="1"/>
  <c r="AD20" i="1"/>
  <c r="AC35" i="1"/>
  <c r="AG35" i="1"/>
  <c r="AF35" i="1"/>
  <c r="AE35" i="1"/>
  <c r="AD35" i="1" s="1"/>
  <c r="AC184" i="1"/>
  <c r="AF184" i="1"/>
  <c r="AG184" i="1"/>
  <c r="AE184" i="1"/>
  <c r="AD184" i="1"/>
  <c r="AC4" i="1"/>
  <c r="AF4" i="1"/>
  <c r="AG4" i="1"/>
  <c r="AE4" i="1"/>
  <c r="AD4" i="1"/>
  <c r="AC77" i="1"/>
  <c r="AG77" i="1"/>
  <c r="AF77" i="1"/>
  <c r="AE77" i="1"/>
  <c r="AD77" i="1"/>
  <c r="AC160" i="1"/>
  <c r="AF160" i="1"/>
  <c r="AG160" i="1"/>
  <c r="AE160" i="1"/>
  <c r="AD160" i="1"/>
  <c r="AE56" i="1"/>
  <c r="AC56" i="1" s="1"/>
  <c r="AF56" i="1"/>
  <c r="AG56" i="1"/>
  <c r="AD56" i="1"/>
  <c r="AF117" i="1"/>
  <c r="AG117" i="1"/>
  <c r="AE117" i="1"/>
  <c r="AC117" i="1" s="1"/>
  <c r="AD117" i="1"/>
  <c r="AF208" i="1"/>
  <c r="AG208" i="1"/>
  <c r="AE208" i="1"/>
  <c r="AC208" i="1" s="1"/>
  <c r="AD208" i="1"/>
  <c r="AC85" i="1"/>
  <c r="AE85" i="1"/>
  <c r="AF85" i="1"/>
  <c r="AG85" i="1"/>
  <c r="AD85" i="1"/>
  <c r="AG209" i="1"/>
  <c r="AF209" i="1"/>
  <c r="AE209" i="1"/>
  <c r="AC209" i="1" s="1"/>
  <c r="AD209" i="1"/>
  <c r="AC135" i="1"/>
  <c r="AF135" i="1"/>
  <c r="AG135" i="1"/>
  <c r="AE135" i="1"/>
  <c r="AD135" i="1"/>
  <c r="AC16" i="1"/>
  <c r="AF16" i="1"/>
  <c r="AG16" i="1"/>
  <c r="AE16" i="1"/>
  <c r="AD16" i="1"/>
  <c r="AE169" i="1"/>
  <c r="AC169" i="1" s="1"/>
  <c r="AG169" i="1"/>
  <c r="AF169" i="1"/>
  <c r="AD169" i="1"/>
  <c r="AC89" i="1"/>
  <c r="AF89" i="1"/>
  <c r="AG89" i="1"/>
  <c r="AE89" i="1"/>
  <c r="AD89" i="1"/>
  <c r="AC30" i="1"/>
  <c r="AF30" i="1"/>
  <c r="AG30" i="1"/>
  <c r="AE30" i="1"/>
  <c r="AD30" i="1"/>
  <c r="AC171" i="1"/>
  <c r="AF171" i="1"/>
  <c r="AG171" i="1"/>
  <c r="AE171" i="1"/>
  <c r="AD171" i="1"/>
  <c r="AC127" i="1"/>
  <c r="AE127" i="1"/>
  <c r="AF127" i="1"/>
  <c r="AG127" i="1"/>
  <c r="AD127" i="1"/>
  <c r="AE68" i="1"/>
  <c r="AF68" i="1"/>
  <c r="AG68" i="1"/>
  <c r="AD68" i="1"/>
  <c r="AE206" i="1"/>
  <c r="AC206" i="1" s="1"/>
  <c r="AF206" i="1"/>
  <c r="AG206" i="1"/>
  <c r="AD206" i="1"/>
  <c r="AF129" i="1"/>
  <c r="AG129" i="1"/>
  <c r="AE129" i="1"/>
  <c r="AC129" i="1" s="1"/>
  <c r="AD129" i="1"/>
  <c r="AC83" i="1"/>
  <c r="AG83" i="1"/>
  <c r="AF83" i="1"/>
  <c r="AE83" i="1"/>
  <c r="AD83" i="1"/>
  <c r="AC14" i="1"/>
  <c r="AE14" i="1"/>
  <c r="AF14" i="1"/>
  <c r="AG14" i="1"/>
  <c r="AD14" i="1"/>
  <c r="AE156" i="1"/>
  <c r="AC156" i="1" s="1"/>
  <c r="AF156" i="1"/>
  <c r="AG156" i="1"/>
  <c r="AD156" i="1"/>
  <c r="AC121" i="1"/>
  <c r="AE121" i="1"/>
  <c r="AF121" i="1"/>
  <c r="AG121" i="1"/>
  <c r="AD121" i="1"/>
  <c r="AE164" i="1"/>
  <c r="AG164" i="1"/>
  <c r="AF164" i="1"/>
  <c r="AC36" i="1"/>
  <c r="AG36" i="1"/>
  <c r="AE36" i="1"/>
  <c r="AF36" i="1"/>
  <c r="AD36" i="1"/>
  <c r="AC37" i="1"/>
  <c r="AE37" i="1"/>
  <c r="AF37" i="1"/>
  <c r="AG37" i="1"/>
  <c r="AD37" i="1"/>
  <c r="AC3" i="1"/>
  <c r="AF3" i="1"/>
  <c r="AG3" i="1"/>
  <c r="AE3" i="1"/>
  <c r="AD3" i="1"/>
  <c r="AG192" i="1"/>
  <c r="AE192" i="1"/>
  <c r="AC192" i="1" s="1"/>
  <c r="AF192" i="1"/>
  <c r="AD192" i="1"/>
  <c r="AC43" i="1"/>
  <c r="AE43" i="1"/>
  <c r="AF43" i="1"/>
  <c r="AG43" i="1"/>
  <c r="AD43" i="1"/>
  <c r="AC45" i="1"/>
  <c r="AF45" i="1"/>
  <c r="AG45" i="1"/>
  <c r="AE45" i="1"/>
  <c r="AD45" i="1"/>
  <c r="AG167" i="1"/>
  <c r="AF167" i="1"/>
  <c r="AE167" i="1"/>
  <c r="AC167" i="1" s="1"/>
  <c r="AC22" i="1"/>
  <c r="AF22" i="1"/>
  <c r="AG22" i="1"/>
  <c r="AE22" i="1"/>
  <c r="AD22" i="1"/>
  <c r="AC158" i="1"/>
  <c r="AE158" i="1"/>
  <c r="AF158" i="1"/>
  <c r="AG158" i="1"/>
  <c r="AD158" i="1"/>
  <c r="AC18" i="1"/>
  <c r="AG18" i="1"/>
  <c r="AF18" i="1"/>
  <c r="AE18" i="1"/>
  <c r="AD18" i="1"/>
  <c r="AC115" i="1"/>
  <c r="AE115" i="1"/>
  <c r="AF115" i="1"/>
  <c r="AG115" i="1"/>
  <c r="AD115" i="1"/>
  <c r="AC203" i="1"/>
  <c r="AE203" i="1"/>
  <c r="AG203" i="1"/>
  <c r="AF203" i="1"/>
  <c r="AD203" i="1"/>
  <c r="AC71" i="1"/>
  <c r="AG71" i="1"/>
  <c r="AF71" i="1"/>
  <c r="AE71" i="1"/>
  <c r="AD71" i="1"/>
  <c r="AC146" i="1"/>
  <c r="AE146" i="1"/>
  <c r="AF146" i="1"/>
  <c r="AG146" i="1"/>
  <c r="AD146" i="1"/>
  <c r="AC130" i="1"/>
  <c r="AF130" i="1"/>
  <c r="AG130" i="1"/>
  <c r="AE130" i="1"/>
  <c r="AD130" i="1"/>
  <c r="AC109" i="1"/>
  <c r="AE109" i="1"/>
  <c r="AF109" i="1"/>
  <c r="AG109" i="1"/>
  <c r="AD109" i="1"/>
  <c r="AC28" i="1"/>
  <c r="AF28" i="1"/>
  <c r="AG28" i="1"/>
  <c r="AE28" i="1"/>
  <c r="AD28" i="1"/>
  <c r="AF179" i="1"/>
  <c r="AE179" i="1"/>
  <c r="AG179" i="1"/>
  <c r="AD179" i="1"/>
  <c r="AC101" i="1"/>
  <c r="AG101" i="1"/>
  <c r="AF101" i="1"/>
  <c r="AE101" i="1"/>
  <c r="AD101" i="1"/>
  <c r="AC42" i="1"/>
  <c r="AG42" i="1"/>
  <c r="AF42" i="1"/>
  <c r="AE42" i="1"/>
  <c r="AD42" i="1"/>
  <c r="AF189" i="1"/>
  <c r="AG189" i="1"/>
  <c r="AE189" i="1"/>
  <c r="AC189" i="1" s="1"/>
  <c r="AD189" i="1"/>
  <c r="AC139" i="1"/>
  <c r="AE139" i="1"/>
  <c r="AF139" i="1"/>
  <c r="AG139" i="1"/>
  <c r="AD139" i="1"/>
  <c r="AC80" i="1"/>
  <c r="AE80" i="1"/>
  <c r="AF80" i="1"/>
  <c r="AG80" i="1"/>
  <c r="AD80" i="1"/>
  <c r="AF141" i="1"/>
  <c r="AG141" i="1"/>
  <c r="AE141" i="1"/>
  <c r="AD141" i="1"/>
  <c r="AC95" i="1"/>
  <c r="AG95" i="1"/>
  <c r="AF95" i="1"/>
  <c r="AE95" i="1"/>
  <c r="AD95" i="1"/>
  <c r="AC26" i="1"/>
  <c r="AE26" i="1"/>
  <c r="AF26" i="1"/>
  <c r="AG26" i="1"/>
  <c r="AD26" i="1"/>
  <c r="AF177" i="1"/>
  <c r="AG177" i="1"/>
  <c r="AE177" i="1"/>
  <c r="AC177" i="1" s="1"/>
  <c r="AD177" i="1"/>
  <c r="AG155" i="1"/>
  <c r="AF155" i="1"/>
  <c r="AE155" i="1"/>
  <c r="AC155" i="1" s="1"/>
  <c r="AD155" i="1"/>
  <c r="AC24" i="1"/>
  <c r="AE24" i="1"/>
  <c r="AF24" i="1"/>
  <c r="AG24" i="1"/>
  <c r="AD24" i="1"/>
  <c r="AC72" i="1"/>
  <c r="AG72" i="1"/>
  <c r="AE72" i="1"/>
  <c r="AF72" i="1"/>
  <c r="AD72" i="1"/>
  <c r="AE145" i="1"/>
  <c r="AC145" i="1" s="1"/>
  <c r="AG145" i="1"/>
  <c r="AF145" i="1"/>
  <c r="AD145" i="1"/>
  <c r="AC111" i="1"/>
  <c r="AF111" i="1"/>
  <c r="AG111" i="1"/>
  <c r="AE111" i="1"/>
  <c r="AD111" i="1"/>
  <c r="AE193" i="1"/>
  <c r="AC193" i="1" s="1"/>
  <c r="AF193" i="1"/>
  <c r="AG193" i="1"/>
  <c r="AD193" i="1"/>
  <c r="AG199" i="1"/>
  <c r="AE199" i="1"/>
  <c r="AC199" i="1" s="1"/>
  <c r="AF199" i="1"/>
  <c r="AD199" i="1"/>
  <c r="AD186" i="1"/>
  <c r="AD182" i="1"/>
  <c r="AD167" i="1"/>
  <c r="AC164" i="1"/>
  <c r="AD164" i="1"/>
  <c r="AD118" i="1"/>
  <c r="AC70" i="1"/>
  <c r="AC165" i="1"/>
  <c r="AC195" i="1"/>
  <c r="AC141" i="1"/>
  <c r="AC68" i="1"/>
  <c r="AC162" i="1"/>
  <c r="F113" i="1"/>
  <c r="AB99" i="1" l="1"/>
  <c r="AC99" i="1"/>
  <c r="AC122" i="1"/>
  <c r="AB122" i="1"/>
  <c r="AC179" i="1"/>
  <c r="AB179" i="1"/>
  <c r="AC118" i="1"/>
  <c r="AB118" i="1"/>
  <c r="AC113" i="1"/>
  <c r="AG113" i="1"/>
  <c r="AF113" i="1"/>
  <c r="AE113" i="1"/>
  <c r="AD1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<sst xmlns="http://schemas.openxmlformats.org/spreadsheetml/2006/main" count="692" uniqueCount="278">
  <si>
    <t>Rank</t>
  </si>
  <si>
    <t>Player ID</t>
  </si>
  <si>
    <t>Player</t>
  </si>
  <si>
    <t>Team</t>
  </si>
  <si>
    <t>ADP</t>
  </si>
  <si>
    <t>Min Pick</t>
  </si>
  <si>
    <t>Max Pick</t>
  </si>
  <si>
    <t>Chase, Ja'Marr</t>
  </si>
  <si>
    <t>CIN</t>
  </si>
  <si>
    <t>WR</t>
  </si>
  <si>
    <t>Robinson, Bijan</t>
  </si>
  <si>
    <t>ATL</t>
  </si>
  <si>
    <t>RB</t>
  </si>
  <si>
    <t>Gibbs, Jahmyr</t>
  </si>
  <si>
    <t>DET</t>
  </si>
  <si>
    <t>Lamb, CeeDee</t>
  </si>
  <si>
    <t>DAL</t>
  </si>
  <si>
    <t>Barkley, Saquon</t>
  </si>
  <si>
    <t>PHI</t>
  </si>
  <si>
    <t>Jefferson, Justin</t>
  </si>
  <si>
    <t>MIN</t>
  </si>
  <si>
    <t>McCaffrey, Christian</t>
  </si>
  <si>
    <t>SF</t>
  </si>
  <si>
    <t>Nabers, Malik</t>
  </si>
  <si>
    <t>NYG</t>
  </si>
  <si>
    <t>St. Brown, Amon-Ra</t>
  </si>
  <si>
    <t>JAX</t>
  </si>
  <si>
    <t>Collins, Nico</t>
  </si>
  <si>
    <t>HOU</t>
  </si>
  <si>
    <t>Jeanty, Ashton</t>
  </si>
  <si>
    <t>LV</t>
  </si>
  <si>
    <t>London, Drake</t>
  </si>
  <si>
    <t>Henry, Derrick</t>
  </si>
  <si>
    <t>BAL</t>
  </si>
  <si>
    <t>Nacua, Puka</t>
  </si>
  <si>
    <t>LA</t>
  </si>
  <si>
    <t>Brown, Chase</t>
  </si>
  <si>
    <t>Achane, De'Von</t>
  </si>
  <si>
    <t>MIA</t>
  </si>
  <si>
    <t>Jacobs, Josh</t>
  </si>
  <si>
    <t>GB</t>
  </si>
  <si>
    <t>Brown, A.J.</t>
  </si>
  <si>
    <t>Taylor, Jonathan</t>
  </si>
  <si>
    <t>IND</t>
  </si>
  <si>
    <t>Irving, Bucky</t>
  </si>
  <si>
    <t>TB</t>
  </si>
  <si>
    <t>Bowers, Brock</t>
  </si>
  <si>
    <t>TE</t>
  </si>
  <si>
    <t>McConkey, Ladd</t>
  </si>
  <si>
    <t>LAC</t>
  </si>
  <si>
    <t>Smith-Njigba, Jaxon</t>
  </si>
  <si>
    <t>SEA</t>
  </si>
  <si>
    <t>Higgins, Tee</t>
  </si>
  <si>
    <t>Williams, Kyren</t>
  </si>
  <si>
    <t>McBride, Trey</t>
  </si>
  <si>
    <t>ARZ</t>
  </si>
  <si>
    <t>Jackson, Lamar</t>
  </si>
  <si>
    <t>QB</t>
  </si>
  <si>
    <t>Hampton, Omarion</t>
  </si>
  <si>
    <t>Allen, Josh</t>
  </si>
  <si>
    <t>BUF</t>
  </si>
  <si>
    <t>Wilson, Garrett</t>
  </si>
  <si>
    <t>NYJ</t>
  </si>
  <si>
    <t>Henderson, TreVeyon</t>
  </si>
  <si>
    <t>NE</t>
  </si>
  <si>
    <t>Hill, Tyreek</t>
  </si>
  <si>
    <t>Cook, James</t>
  </si>
  <si>
    <t>McMillan, Tetairoa</t>
  </si>
  <si>
    <t>CAR</t>
  </si>
  <si>
    <t>Adams, Davante</t>
  </si>
  <si>
    <t>McLaurin, Terry</t>
  </si>
  <si>
    <t>WAS</t>
  </si>
  <si>
    <t>Evans, Mike</t>
  </si>
  <si>
    <t>Burrow, Joe</t>
  </si>
  <si>
    <t>Worthy, Xavier</t>
  </si>
  <si>
    <t>KC</t>
  </si>
  <si>
    <t>Daniels, Jayden</t>
  </si>
  <si>
    <t>Kittle, George</t>
  </si>
  <si>
    <t>Sutton, Courtland</t>
  </si>
  <si>
    <t>DEN</t>
  </si>
  <si>
    <t>Pickens, George</t>
  </si>
  <si>
    <t>Hall, Breece</t>
  </si>
  <si>
    <t>PIT</t>
  </si>
  <si>
    <t>Kamara, Alvin</t>
  </si>
  <si>
    <t>NO</t>
  </si>
  <si>
    <t>Moore, DJ</t>
  </si>
  <si>
    <t>CHI</t>
  </si>
  <si>
    <t>Hurts, Jalen</t>
  </si>
  <si>
    <t>Ridley, Calvin</t>
  </si>
  <si>
    <t>TEN</t>
  </si>
  <si>
    <t>Williams, Jameson</t>
  </si>
  <si>
    <t>Hubbard, Chuba</t>
  </si>
  <si>
    <t>Egbuka, Emeka</t>
  </si>
  <si>
    <t>Smith, DeVonta</t>
  </si>
  <si>
    <t>Conner, James</t>
  </si>
  <si>
    <t>Flowers, Zay</t>
  </si>
  <si>
    <t>Harvey, RJ</t>
  </si>
  <si>
    <t>Pearsall, Ricky</t>
  </si>
  <si>
    <t>Waddle, Jaylen</t>
  </si>
  <si>
    <t>Swift, D'Andre</t>
  </si>
  <si>
    <t>Pollard, Tony</t>
  </si>
  <si>
    <t>Jeudy, Jerry</t>
  </si>
  <si>
    <t>CLE</t>
  </si>
  <si>
    <t>Rice, Rashee</t>
  </si>
  <si>
    <t>Hunter, Travis</t>
  </si>
  <si>
    <t>Odunze, Rome</t>
  </si>
  <si>
    <t>Pacheco, Isiah</t>
  </si>
  <si>
    <t>Golden, Matthew</t>
  </si>
  <si>
    <t>Olave, Chris</t>
  </si>
  <si>
    <t>Montgomery, David</t>
  </si>
  <si>
    <t>Mahomes, Patrick</t>
  </si>
  <si>
    <t>LaPorta, Sam</t>
  </si>
  <si>
    <t>Diggs, Stefon</t>
  </si>
  <si>
    <t>Samuel, Deebo</t>
  </si>
  <si>
    <t>Jones, Aaron</t>
  </si>
  <si>
    <t>Meyers, Jakobi</t>
  </si>
  <si>
    <t>Addison, Jordan</t>
  </si>
  <si>
    <t>Tracy, Tyrone</t>
  </si>
  <si>
    <t>Kelce, Travis</t>
  </si>
  <si>
    <t>Warren, Jaylen</t>
  </si>
  <si>
    <t>Charbonnet, Zach</t>
  </si>
  <si>
    <t>Hockenson, T.J.</t>
  </si>
  <si>
    <t>Warren, Tyler</t>
  </si>
  <si>
    <t>Johnson, Kaleb</t>
  </si>
  <si>
    <t>Mason, Jordan</t>
  </si>
  <si>
    <t>Jennings, Jauan</t>
  </si>
  <si>
    <t>Shakir, Khalil</t>
  </si>
  <si>
    <t>Mayfield, Baker</t>
  </si>
  <si>
    <t>Dobbins, J.K.</t>
  </si>
  <si>
    <t>Coleman, Keon</t>
  </si>
  <si>
    <t>Kupp, Cooper</t>
  </si>
  <si>
    <t>Prescott, Dak</t>
  </si>
  <si>
    <t>Nix, Bo</t>
  </si>
  <si>
    <t>Downs, Josh</t>
  </si>
  <si>
    <t>Croskey-Merritt, Jacory</t>
  </si>
  <si>
    <t>Andrews, Mark</t>
  </si>
  <si>
    <t>Godwin, Chris</t>
  </si>
  <si>
    <t>Engram, Evan</t>
  </si>
  <si>
    <t>Williams, Javonte</t>
  </si>
  <si>
    <t>Njoku, David</t>
  </si>
  <si>
    <t>Kirk, Christian</t>
  </si>
  <si>
    <t>Skattebo, Cam</t>
  </si>
  <si>
    <t>Allen, Braelon</t>
  </si>
  <si>
    <t>Mooney, Darnell</t>
  </si>
  <si>
    <t>Kraft, Tucker</t>
  </si>
  <si>
    <t>Benson, Trey</t>
  </si>
  <si>
    <t>Reed, Jayden</t>
  </si>
  <si>
    <t>Ekeler, Austin</t>
  </si>
  <si>
    <t>Tuten, Bhayshul</t>
  </si>
  <si>
    <t>Robinson, Brian</t>
  </si>
  <si>
    <t>Judkins, Quinshon</t>
  </si>
  <si>
    <t>Higgins, Jayden</t>
  </si>
  <si>
    <t>Shaheed, Rashid</t>
  </si>
  <si>
    <t>Loveland, Colston</t>
  </si>
  <si>
    <t>Murray, Kyler</t>
  </si>
  <si>
    <t>Allen, Keenan</t>
  </si>
  <si>
    <t>Stevenson, Rhamondre</t>
  </si>
  <si>
    <t>Harris, Najee</t>
  </si>
  <si>
    <t>Blue, Jaydon</t>
  </si>
  <si>
    <t>Sampson, Dylan</t>
  </si>
  <si>
    <t>Bigsby, Tank</t>
  </si>
  <si>
    <t>Chubb, Nick</t>
  </si>
  <si>
    <t>Purdy, Brock</t>
  </si>
  <si>
    <t>Aiyuk, Brandon</t>
  </si>
  <si>
    <t>Goff, Jared</t>
  </si>
  <si>
    <t>Bateman, Rashod</t>
  </si>
  <si>
    <t>Ferguson, Jake</t>
  </si>
  <si>
    <t>Davis, Ray</t>
  </si>
  <si>
    <t>Brown, Hollywood</t>
  </si>
  <si>
    <t>Maye, Drake</t>
  </si>
  <si>
    <t>Williams, Caleb</t>
  </si>
  <si>
    <t>Tillman, Cedric</t>
  </si>
  <si>
    <t>Kincaid, Dalton</t>
  </si>
  <si>
    <t>Fields, Justin</t>
  </si>
  <si>
    <t>Douglas, DeMario</t>
  </si>
  <si>
    <t>Allgeier, Tyler</t>
  </si>
  <si>
    <t>Ford, Jerome</t>
  </si>
  <si>
    <t>Palmer, Joshua</t>
  </si>
  <si>
    <t>Legette, Xavier</t>
  </si>
  <si>
    <t>Pitts, Kyle</t>
  </si>
  <si>
    <t>White, Rachaad</t>
  </si>
  <si>
    <t>Mixon, Joe</t>
  </si>
  <si>
    <t>Robinson, Wan'Dale</t>
  </si>
  <si>
    <t>Spears, Tyjae</t>
  </si>
  <si>
    <t>Marks, Woody</t>
  </si>
  <si>
    <t>Goedert, Dallas</t>
  </si>
  <si>
    <t>Herbert, Justin</t>
  </si>
  <si>
    <t>Doubs, Romeo</t>
  </si>
  <si>
    <t>Shipley, Will</t>
  </si>
  <si>
    <t>Love, Jordan</t>
  </si>
  <si>
    <t>McCarthy, J.J.</t>
  </si>
  <si>
    <t>TeSlaa, Isaac</t>
  </si>
  <si>
    <t>Thielen, Adam</t>
  </si>
  <si>
    <t>Stroud, C.J.</t>
  </si>
  <si>
    <t>Dowdle, Rico</t>
  </si>
  <si>
    <t>Lawrence, Trevor</t>
  </si>
  <si>
    <t>Mitchell, Keaton</t>
  </si>
  <si>
    <t>Corum, Blake</t>
  </si>
  <si>
    <t>Williams, Kyle</t>
  </si>
  <si>
    <t>Henry, Hunter</t>
  </si>
  <si>
    <t>Giddens, DJ</t>
  </si>
  <si>
    <t>Strange, Brenton</t>
  </si>
  <si>
    <t>Brooks, Tahj</t>
  </si>
  <si>
    <t>Rodriguez, Chris</t>
  </si>
  <si>
    <t>Ayomanor, Elic</t>
  </si>
  <si>
    <t>Ertz, Zach</t>
  </si>
  <si>
    <t>Johnston, Quentin</t>
  </si>
  <si>
    <t>Bryant, Pat</t>
  </si>
  <si>
    <t>Miller, Kendre</t>
  </si>
  <si>
    <t>Cooper, Amari</t>
  </si>
  <si>
    <t>Guerendo, Isaac</t>
  </si>
  <si>
    <t>Monangai, Kyle</t>
  </si>
  <si>
    <t>Smith, Jonnu</t>
  </si>
  <si>
    <t>Hunt, Kareem</t>
  </si>
  <si>
    <t>Smith, Brashard</t>
  </si>
  <si>
    <t>Likely, Isaiah</t>
  </si>
  <si>
    <t>Johnson, Roschon</t>
  </si>
  <si>
    <t>Franklin, Troy</t>
  </si>
  <si>
    <t>Hill, Justice</t>
  </si>
  <si>
    <t>Young, Bryce</t>
  </si>
  <si>
    <t>Pierce, Dameon</t>
  </si>
  <si>
    <t>Horton, Tory</t>
  </si>
  <si>
    <t>Tucker, Sean</t>
  </si>
  <si>
    <t>Wright, Jaylen</t>
  </si>
  <si>
    <t>Coker, Jalen</t>
  </si>
  <si>
    <t>Tagovailoa, Tua</t>
  </si>
  <si>
    <t>Hunter, Jarquez</t>
  </si>
  <si>
    <t>Taylor, Mason</t>
  </si>
  <si>
    <t>Wilson, Michael</t>
  </si>
  <si>
    <t>Ward, Cam</t>
  </si>
  <si>
    <t>Stafford, Matthew</t>
  </si>
  <si>
    <t>Darnold, Sam</t>
  </si>
  <si>
    <t>Smith, Geno</t>
  </si>
  <si>
    <t>Dart, Jaxson</t>
  </si>
  <si>
    <t>Rodgers, Aaron</t>
  </si>
  <si>
    <t>Richardson, Anthony</t>
  </si>
  <si>
    <t>Jones, Daniel</t>
  </si>
  <si>
    <t>Flacco, Joe</t>
  </si>
  <si>
    <t>Bye Week</t>
  </si>
  <si>
    <t>Position</t>
  </si>
  <si>
    <t>Last Name</t>
  </si>
  <si>
    <t>First</t>
  </si>
  <si>
    <t>Thomas Jr., Brian</t>
  </si>
  <si>
    <t>Harrison Jr., Marvin</t>
  </si>
  <si>
    <t>Walker III, Kenneth</t>
  </si>
  <si>
    <t>Metcalf, D.K.</t>
  </si>
  <si>
    <t>Etienne Jr., Travis</t>
  </si>
  <si>
    <t>Pittman Jr., Michael</t>
  </si>
  <si>
    <t>Bye Week 5</t>
  </si>
  <si>
    <t>Bye Week 6</t>
  </si>
  <si>
    <t>Bye Week 7</t>
  </si>
  <si>
    <t>Bye Week 8</t>
  </si>
  <si>
    <t>Bye Week 9</t>
  </si>
  <si>
    <t>Bye Week 10</t>
  </si>
  <si>
    <t>Bye Week 11</t>
  </si>
  <si>
    <t>Bye Week 12</t>
  </si>
  <si>
    <t>Bye Week 14</t>
  </si>
  <si>
    <t>Mims Jr., Marvin</t>
  </si>
  <si>
    <t>Gordon II, Ollie</t>
  </si>
  <si>
    <t>Burden III, Luther</t>
  </si>
  <si>
    <t>Clean Name</t>
  </si>
  <si>
    <t>Harris, Tre</t>
  </si>
  <si>
    <t>Thornton Jr, Dont'e</t>
  </si>
  <si>
    <t>Okonkwo, Chigoziem</t>
  </si>
  <si>
    <t>Penix Jr, Michael</t>
  </si>
  <si>
    <t>Is QB</t>
  </si>
  <si>
    <t>Is RB</t>
  </si>
  <si>
    <t>Is WR</t>
  </si>
  <si>
    <t>Is TE</t>
  </si>
  <si>
    <t>Is Flex</t>
  </si>
  <si>
    <t>Is Superflex</t>
  </si>
  <si>
    <t>PFF PPR</t>
  </si>
  <si>
    <t>numberFire PPR</t>
  </si>
  <si>
    <t>Rotoballer PPR</t>
  </si>
  <si>
    <t>Athletic PPR</t>
  </si>
  <si>
    <t>Athletic Half</t>
  </si>
  <si>
    <t>Athletic STD</t>
  </si>
  <si>
    <t>Week 11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</si>
</sst>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wnorm/Documents/ncsu/or708/project/data/pff_ppr_projections.csv" TargetMode="External"/><Relationship Id="rId1" Type="http://schemas.openxmlformats.org/officeDocument/2006/relationships/externalLinkPath" Target="pff_ppr_projections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wnorm/Documents/ncsu/or708/project/data/numberFire_ppr_projections.csv" TargetMode="External"/><Relationship Id="rId1" Type="http://schemas.openxmlformats.org/officeDocument/2006/relationships/externalLinkPath" Target="numberFire_ppr_projections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wnorm/Documents/ncsu/or708/project/data/rotoballer_ppr_projections.csv" TargetMode="External"/><Relationship Id="rId1" Type="http://schemas.openxmlformats.org/officeDocument/2006/relationships/externalLinkPath" Target="rotoballer_ppr_projections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wnorm/Documents/ncsu/or708/project/data/2025-FFB-Projections-0903.xlsx" TargetMode="External"/><Relationship Id="rId1" Type="http://schemas.openxmlformats.org/officeDocument/2006/relationships/externalLinkPath" Target="2025-FFB-Projections-090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wnorm/Documents/ncsu/or708/project/data/actual_week11_ppr_stats.csv" TargetMode="External"/><Relationship Id="rId1" Type="http://schemas.openxmlformats.org/officeDocument/2006/relationships/externalLinkPath" Target="actual_week11_ppr_sta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ff_ppr_projections"/>
    </sheetNames>
    <sheetDataSet>
      <sheetData sheetId="0">
        <row r="1">
          <cell r="B1" t="str">
            <v>Player</v>
          </cell>
          <cell r="C1" t="str">
            <v>Team</v>
          </cell>
          <cell r="D1" t="str">
            <v>FantasyPts</v>
          </cell>
        </row>
        <row r="2">
          <cell r="B2" t="str">
            <v>Josh Allen</v>
          </cell>
          <cell r="C2" t="str">
            <v>BUF</v>
          </cell>
          <cell r="D2">
            <v>341.4</v>
          </cell>
        </row>
        <row r="3">
          <cell r="B3" t="str">
            <v>Jayden Daniels</v>
          </cell>
          <cell r="C3" t="str">
            <v>WAS</v>
          </cell>
          <cell r="D3">
            <v>339.5</v>
          </cell>
        </row>
        <row r="4">
          <cell r="B4" t="str">
            <v>Lamar Jackson</v>
          </cell>
          <cell r="C4" t="str">
            <v>BLT</v>
          </cell>
          <cell r="D4">
            <v>338.5</v>
          </cell>
        </row>
        <row r="5">
          <cell r="B5" t="str">
            <v>Ja'Marr Chase</v>
          </cell>
          <cell r="C5" t="str">
            <v>CIN</v>
          </cell>
          <cell r="D5">
            <v>333.4</v>
          </cell>
        </row>
        <row r="6">
          <cell r="B6" t="str">
            <v>Jalen Hurts</v>
          </cell>
          <cell r="C6" t="str">
            <v>PHI</v>
          </cell>
          <cell r="D6">
            <v>333.3</v>
          </cell>
        </row>
        <row r="7">
          <cell r="B7" t="str">
            <v>Joe Burrow</v>
          </cell>
          <cell r="C7" t="str">
            <v>CIN</v>
          </cell>
          <cell r="D7">
            <v>314.89999999999998</v>
          </cell>
        </row>
        <row r="8">
          <cell r="B8" t="str">
            <v>Patrick Mahomes</v>
          </cell>
          <cell r="C8" t="str">
            <v>KC</v>
          </cell>
          <cell r="D8">
            <v>306.89999999999998</v>
          </cell>
        </row>
        <row r="9">
          <cell r="B9" t="str">
            <v>Bijan Robinson</v>
          </cell>
          <cell r="C9" t="str">
            <v>ATL</v>
          </cell>
          <cell r="D9">
            <v>299.39999999999998</v>
          </cell>
        </row>
        <row r="10">
          <cell r="B10" t="str">
            <v>Baker Mayfield</v>
          </cell>
          <cell r="C10" t="str">
            <v>TB</v>
          </cell>
          <cell r="D10">
            <v>297</v>
          </cell>
        </row>
        <row r="11">
          <cell r="B11" t="str">
            <v>Jahmyr Gibbs</v>
          </cell>
          <cell r="C11" t="str">
            <v>DET</v>
          </cell>
          <cell r="D11">
            <v>295.10000000000002</v>
          </cell>
        </row>
        <row r="12">
          <cell r="B12" t="str">
            <v>Justin Jefferson</v>
          </cell>
          <cell r="C12" t="str">
            <v>MIN</v>
          </cell>
          <cell r="D12">
            <v>291.2</v>
          </cell>
        </row>
        <row r="13">
          <cell r="B13" t="str">
            <v>Ashton Jeanty</v>
          </cell>
          <cell r="C13" t="str">
            <v>LV</v>
          </cell>
          <cell r="D13">
            <v>290.3</v>
          </cell>
        </row>
        <row r="14">
          <cell r="B14" t="str">
            <v>Brock Purdy</v>
          </cell>
          <cell r="C14" t="str">
            <v>SF</v>
          </cell>
          <cell r="D14">
            <v>288.3</v>
          </cell>
        </row>
        <row r="15">
          <cell r="B15" t="str">
            <v>Brian Thomas Jr</v>
          </cell>
          <cell r="C15" t="str">
            <v>JAX</v>
          </cell>
          <cell r="D15">
            <v>287.10000000000002</v>
          </cell>
        </row>
        <row r="16">
          <cell r="B16" t="str">
            <v>Saquon Barkley</v>
          </cell>
          <cell r="C16" t="str">
            <v>PHI</v>
          </cell>
          <cell r="D16">
            <v>285.5</v>
          </cell>
        </row>
        <row r="17">
          <cell r="B17" t="str">
            <v>Puka Nacua</v>
          </cell>
          <cell r="C17" t="str">
            <v>LA</v>
          </cell>
          <cell r="D17">
            <v>285.3</v>
          </cell>
        </row>
        <row r="18">
          <cell r="B18" t="str">
            <v>Bucky Irving</v>
          </cell>
          <cell r="C18" t="str">
            <v>TB</v>
          </cell>
          <cell r="D18">
            <v>281.8</v>
          </cell>
        </row>
        <row r="19">
          <cell r="B19" t="str">
            <v>Bo Nix</v>
          </cell>
          <cell r="C19" t="str">
            <v>DEN</v>
          </cell>
          <cell r="D19">
            <v>279.89999999999998</v>
          </cell>
        </row>
        <row r="20">
          <cell r="B20" t="str">
            <v>Kyler Murray</v>
          </cell>
          <cell r="C20" t="str">
            <v>ARZ</v>
          </cell>
          <cell r="D20">
            <v>277.8</v>
          </cell>
        </row>
        <row r="21">
          <cell r="B21" t="str">
            <v>Justin Fields</v>
          </cell>
          <cell r="C21" t="str">
            <v>NYJ</v>
          </cell>
          <cell r="D21">
            <v>277.8</v>
          </cell>
        </row>
        <row r="22">
          <cell r="B22" t="str">
            <v>Nico Collins</v>
          </cell>
          <cell r="C22" t="str">
            <v>HST</v>
          </cell>
          <cell r="D22">
            <v>277.3</v>
          </cell>
        </row>
        <row r="23">
          <cell r="B23" t="str">
            <v>Christian McCaffrey</v>
          </cell>
          <cell r="C23" t="str">
            <v>SF</v>
          </cell>
          <cell r="D23">
            <v>277.2</v>
          </cell>
        </row>
        <row r="24">
          <cell r="B24" t="str">
            <v>Dak Prescott</v>
          </cell>
          <cell r="C24" t="str">
            <v>DAL</v>
          </cell>
          <cell r="D24">
            <v>276.10000000000002</v>
          </cell>
        </row>
        <row r="25">
          <cell r="B25" t="str">
            <v>Jared Goff</v>
          </cell>
          <cell r="C25" t="str">
            <v>DET</v>
          </cell>
          <cell r="D25">
            <v>276</v>
          </cell>
        </row>
        <row r="26">
          <cell r="B26" t="str">
            <v>De'Von Achane</v>
          </cell>
          <cell r="C26" t="str">
            <v>MIA</v>
          </cell>
          <cell r="D26">
            <v>275.60000000000002</v>
          </cell>
        </row>
        <row r="27">
          <cell r="B27" t="str">
            <v>Justin Herbert</v>
          </cell>
          <cell r="C27" t="str">
            <v>LAC</v>
          </cell>
          <cell r="D27">
            <v>275</v>
          </cell>
        </row>
        <row r="28">
          <cell r="B28" t="str">
            <v>CeeDee Lamb</v>
          </cell>
          <cell r="C28" t="str">
            <v>DAL</v>
          </cell>
          <cell r="D28">
            <v>274.60000000000002</v>
          </cell>
        </row>
        <row r="29">
          <cell r="B29" t="str">
            <v>Amon-Ra St Brown</v>
          </cell>
          <cell r="C29" t="str">
            <v>DET</v>
          </cell>
          <cell r="D29">
            <v>270</v>
          </cell>
        </row>
        <row r="30">
          <cell r="B30" t="str">
            <v>Jordan Love</v>
          </cell>
          <cell r="C30" t="str">
            <v>GB</v>
          </cell>
          <cell r="D30">
            <v>266</v>
          </cell>
        </row>
        <row r="31">
          <cell r="B31" t="str">
            <v>Malik Nabers</v>
          </cell>
          <cell r="C31" t="str">
            <v>NYG</v>
          </cell>
          <cell r="D31">
            <v>266</v>
          </cell>
        </row>
        <row r="32">
          <cell r="B32" t="str">
            <v>Tua Tagovailoa</v>
          </cell>
          <cell r="C32" t="str">
            <v>MIA</v>
          </cell>
          <cell r="D32">
            <v>264.2</v>
          </cell>
        </row>
        <row r="33">
          <cell r="B33" t="str">
            <v>Geno Smith</v>
          </cell>
          <cell r="C33" t="str">
            <v>LV</v>
          </cell>
          <cell r="D33">
            <v>260.3</v>
          </cell>
        </row>
        <row r="34">
          <cell r="B34" t="str">
            <v>Drake London</v>
          </cell>
          <cell r="C34" t="str">
            <v>ATL</v>
          </cell>
          <cell r="D34">
            <v>259.39999999999998</v>
          </cell>
        </row>
        <row r="35">
          <cell r="B35" t="str">
            <v>CJ Stroud</v>
          </cell>
          <cell r="C35" t="str">
            <v>HST</v>
          </cell>
          <cell r="D35">
            <v>259.2</v>
          </cell>
        </row>
        <row r="36">
          <cell r="B36" t="str">
            <v>JJ McCarthy</v>
          </cell>
          <cell r="C36" t="str">
            <v>MIN</v>
          </cell>
          <cell r="D36">
            <v>257.3</v>
          </cell>
        </row>
        <row r="37">
          <cell r="B37" t="str">
            <v>AJ Brown</v>
          </cell>
          <cell r="C37" t="str">
            <v>PHI</v>
          </cell>
          <cell r="D37">
            <v>255.7</v>
          </cell>
        </row>
        <row r="38">
          <cell r="B38" t="str">
            <v>Sam Darnold</v>
          </cell>
          <cell r="C38" t="str">
            <v>SEA</v>
          </cell>
          <cell r="D38">
            <v>254.8</v>
          </cell>
        </row>
        <row r="39">
          <cell r="B39" t="str">
            <v>Aaron Rodgers</v>
          </cell>
          <cell r="C39" t="str">
            <v>PIT</v>
          </cell>
          <cell r="D39">
            <v>254.1</v>
          </cell>
        </row>
        <row r="40">
          <cell r="B40" t="str">
            <v>Trevor Lawrence</v>
          </cell>
          <cell r="C40" t="str">
            <v>JAX</v>
          </cell>
          <cell r="D40">
            <v>254</v>
          </cell>
        </row>
        <row r="41">
          <cell r="B41" t="str">
            <v>Matthew Stafford</v>
          </cell>
          <cell r="C41" t="str">
            <v>LA</v>
          </cell>
          <cell r="D41">
            <v>253.8</v>
          </cell>
        </row>
        <row r="42">
          <cell r="B42" t="str">
            <v>Derrick Henry</v>
          </cell>
          <cell r="C42" t="str">
            <v>BLT</v>
          </cell>
          <cell r="D42">
            <v>252.5</v>
          </cell>
        </row>
        <row r="43">
          <cell r="B43" t="str">
            <v>Josh Jacobs</v>
          </cell>
          <cell r="C43" t="str">
            <v>GB</v>
          </cell>
          <cell r="D43">
            <v>252</v>
          </cell>
        </row>
        <row r="44">
          <cell r="B44" t="str">
            <v>Ladd McConkey</v>
          </cell>
          <cell r="C44" t="str">
            <v>LAC</v>
          </cell>
          <cell r="D44">
            <v>249.7</v>
          </cell>
        </row>
        <row r="45">
          <cell r="B45" t="str">
            <v>Drake Maye</v>
          </cell>
          <cell r="C45" t="str">
            <v>NE</v>
          </cell>
          <cell r="D45">
            <v>249.3</v>
          </cell>
        </row>
        <row r="46">
          <cell r="B46" t="str">
            <v>Kenneth Walker III</v>
          </cell>
          <cell r="C46" t="str">
            <v>SEA</v>
          </cell>
          <cell r="D46">
            <v>248.1</v>
          </cell>
        </row>
        <row r="47">
          <cell r="B47" t="str">
            <v>Brock Bowers</v>
          </cell>
          <cell r="C47" t="str">
            <v>LV</v>
          </cell>
          <cell r="D47">
            <v>245.9</v>
          </cell>
        </row>
        <row r="48">
          <cell r="B48" t="str">
            <v>Tee Higgins</v>
          </cell>
          <cell r="C48" t="str">
            <v>CIN</v>
          </cell>
          <cell r="D48">
            <v>245.7</v>
          </cell>
        </row>
        <row r="49">
          <cell r="B49" t="str">
            <v>Jonathan Taylor</v>
          </cell>
          <cell r="C49" t="str">
            <v>IND</v>
          </cell>
          <cell r="D49">
            <v>242.7</v>
          </cell>
        </row>
        <row r="50">
          <cell r="B50" t="str">
            <v>Cam Ward</v>
          </cell>
          <cell r="C50" t="str">
            <v>TEN</v>
          </cell>
          <cell r="D50">
            <v>242.3</v>
          </cell>
        </row>
        <row r="51">
          <cell r="B51" t="str">
            <v>Kyren Williams</v>
          </cell>
          <cell r="C51" t="str">
            <v>LA</v>
          </cell>
          <cell r="D51">
            <v>241.9</v>
          </cell>
        </row>
        <row r="52">
          <cell r="B52" t="str">
            <v>Caleb Williams</v>
          </cell>
          <cell r="C52" t="str">
            <v>CHI</v>
          </cell>
          <cell r="D52">
            <v>240.2</v>
          </cell>
        </row>
        <row r="53">
          <cell r="B53" t="str">
            <v>Garrett Wilson</v>
          </cell>
          <cell r="C53" t="str">
            <v>NYJ</v>
          </cell>
          <cell r="D53">
            <v>239.6</v>
          </cell>
        </row>
        <row r="54">
          <cell r="B54" t="str">
            <v>Anthony Richardson</v>
          </cell>
          <cell r="C54" t="str">
            <v>IND</v>
          </cell>
          <cell r="D54">
            <v>237.2</v>
          </cell>
        </row>
        <row r="55">
          <cell r="B55" t="str">
            <v>Trey McBride</v>
          </cell>
          <cell r="C55" t="str">
            <v>ARZ</v>
          </cell>
          <cell r="D55">
            <v>235.9</v>
          </cell>
        </row>
        <row r="56">
          <cell r="B56" t="str">
            <v>Terry McLaurin</v>
          </cell>
          <cell r="C56" t="str">
            <v>WAS</v>
          </cell>
          <cell r="D56">
            <v>235</v>
          </cell>
        </row>
        <row r="57">
          <cell r="B57" t="str">
            <v>Michael Penix Jr</v>
          </cell>
          <cell r="C57" t="str">
            <v>ATL</v>
          </cell>
          <cell r="D57">
            <v>234.7</v>
          </cell>
        </row>
        <row r="58">
          <cell r="B58" t="str">
            <v>Marvin Harrison Jr</v>
          </cell>
          <cell r="C58" t="str">
            <v>ARZ</v>
          </cell>
          <cell r="D58">
            <v>233.1</v>
          </cell>
        </row>
        <row r="59">
          <cell r="B59" t="str">
            <v>Tyler Shough</v>
          </cell>
          <cell r="C59" t="str">
            <v>NO</v>
          </cell>
          <cell r="D59">
            <v>232.9</v>
          </cell>
        </row>
        <row r="60">
          <cell r="B60" t="str">
            <v>Mike Evans</v>
          </cell>
          <cell r="C60" t="str">
            <v>TB</v>
          </cell>
          <cell r="D60">
            <v>232.6</v>
          </cell>
        </row>
        <row r="61">
          <cell r="B61" t="str">
            <v>James Cook</v>
          </cell>
          <cell r="C61" t="str">
            <v>BUF</v>
          </cell>
          <cell r="D61">
            <v>231.7</v>
          </cell>
        </row>
        <row r="62">
          <cell r="B62" t="str">
            <v>Omarion Hampton</v>
          </cell>
          <cell r="C62" t="str">
            <v>LAC</v>
          </cell>
          <cell r="D62">
            <v>227.9</v>
          </cell>
        </row>
        <row r="63">
          <cell r="B63" t="str">
            <v>Rashee Rice</v>
          </cell>
          <cell r="C63" t="str">
            <v>KC</v>
          </cell>
          <cell r="D63">
            <v>227.5</v>
          </cell>
        </row>
        <row r="64">
          <cell r="B64" t="str">
            <v>Chase Brown</v>
          </cell>
          <cell r="C64" t="str">
            <v>CIN</v>
          </cell>
          <cell r="D64">
            <v>225.9</v>
          </cell>
        </row>
        <row r="65">
          <cell r="B65" t="str">
            <v>Davante Adams</v>
          </cell>
          <cell r="C65" t="str">
            <v>LA</v>
          </cell>
          <cell r="D65">
            <v>225.2</v>
          </cell>
        </row>
        <row r="66">
          <cell r="B66" t="str">
            <v>DK Metcalf</v>
          </cell>
          <cell r="C66" t="str">
            <v>PIT</v>
          </cell>
          <cell r="D66">
            <v>223.4</v>
          </cell>
        </row>
        <row r="67">
          <cell r="B67" t="str">
            <v>DJ Moore</v>
          </cell>
          <cell r="C67" t="str">
            <v>CHI</v>
          </cell>
          <cell r="D67">
            <v>223.4</v>
          </cell>
        </row>
        <row r="68">
          <cell r="B68" t="str">
            <v>Breece Hall</v>
          </cell>
          <cell r="C68" t="str">
            <v>NYJ</v>
          </cell>
          <cell r="D68">
            <v>223.3</v>
          </cell>
        </row>
        <row r="69">
          <cell r="B69" t="str">
            <v>Bryce Young</v>
          </cell>
          <cell r="C69" t="str">
            <v>CAR</v>
          </cell>
          <cell r="D69">
            <v>223.1</v>
          </cell>
        </row>
        <row r="70">
          <cell r="B70" t="str">
            <v>Alvin Kamara</v>
          </cell>
          <cell r="C70" t="str">
            <v>NO</v>
          </cell>
          <cell r="D70">
            <v>221.6</v>
          </cell>
        </row>
        <row r="71">
          <cell r="B71" t="str">
            <v>RJ Harvey</v>
          </cell>
          <cell r="C71" t="str">
            <v>DEN</v>
          </cell>
          <cell r="D71">
            <v>220</v>
          </cell>
        </row>
        <row r="72">
          <cell r="B72" t="str">
            <v>Quinshon Judkins</v>
          </cell>
          <cell r="C72" t="str">
            <v>CLV</v>
          </cell>
          <cell r="D72">
            <v>219.1</v>
          </cell>
        </row>
        <row r="73">
          <cell r="B73" t="str">
            <v>James Conner</v>
          </cell>
          <cell r="C73" t="str">
            <v>ARZ</v>
          </cell>
          <cell r="D73">
            <v>218.8</v>
          </cell>
        </row>
        <row r="74">
          <cell r="B74" t="str">
            <v>Tyreek Hill</v>
          </cell>
          <cell r="C74" t="str">
            <v>MIA</v>
          </cell>
          <cell r="D74">
            <v>217.9</v>
          </cell>
        </row>
        <row r="75">
          <cell r="B75" t="str">
            <v>Jaxon Smith-Njigba</v>
          </cell>
          <cell r="C75" t="str">
            <v>SEA</v>
          </cell>
          <cell r="D75">
            <v>217.9</v>
          </cell>
        </row>
        <row r="76">
          <cell r="B76" t="str">
            <v>Joe Mixon</v>
          </cell>
          <cell r="C76" t="str">
            <v>HST</v>
          </cell>
          <cell r="D76">
            <v>217.2</v>
          </cell>
        </row>
        <row r="77">
          <cell r="B77" t="str">
            <v>Chuba Hubbard</v>
          </cell>
          <cell r="C77" t="str">
            <v>CAR</v>
          </cell>
          <cell r="D77">
            <v>216.7</v>
          </cell>
        </row>
        <row r="78">
          <cell r="B78" t="str">
            <v>Tetairoa McMillan</v>
          </cell>
          <cell r="C78" t="str">
            <v>CAR</v>
          </cell>
          <cell r="D78">
            <v>216.1</v>
          </cell>
        </row>
        <row r="79">
          <cell r="B79" t="str">
            <v>Travis Hunter</v>
          </cell>
          <cell r="C79" t="str">
            <v>JAX</v>
          </cell>
          <cell r="D79">
            <v>215.5</v>
          </cell>
        </row>
        <row r="80">
          <cell r="B80" t="str">
            <v>Jameson Williams</v>
          </cell>
          <cell r="C80" t="str">
            <v>DET</v>
          </cell>
          <cell r="D80">
            <v>215.1</v>
          </cell>
        </row>
        <row r="81">
          <cell r="B81" t="str">
            <v>DeVonta Smith</v>
          </cell>
          <cell r="C81" t="str">
            <v>PHI</v>
          </cell>
          <cell r="D81">
            <v>214.1</v>
          </cell>
        </row>
        <row r="82">
          <cell r="B82" t="str">
            <v>Xavier Worthy</v>
          </cell>
          <cell r="C82" t="str">
            <v>KC</v>
          </cell>
          <cell r="D82">
            <v>213.6</v>
          </cell>
        </row>
        <row r="83">
          <cell r="B83" t="str">
            <v>Zay Flowers</v>
          </cell>
          <cell r="C83" t="str">
            <v>BLT</v>
          </cell>
          <cell r="D83">
            <v>212.7</v>
          </cell>
        </row>
        <row r="84">
          <cell r="B84" t="str">
            <v>Jaylen Waddle</v>
          </cell>
          <cell r="C84" t="str">
            <v>MIA</v>
          </cell>
          <cell r="D84">
            <v>210</v>
          </cell>
        </row>
        <row r="85">
          <cell r="B85" t="str">
            <v>Kenny Pickett</v>
          </cell>
          <cell r="C85" t="str">
            <v>CLV</v>
          </cell>
          <cell r="D85">
            <v>209.8</v>
          </cell>
        </row>
        <row r="86">
          <cell r="B86" t="str">
            <v>George Kittle</v>
          </cell>
          <cell r="C86" t="str">
            <v>SF</v>
          </cell>
          <cell r="D86">
            <v>209.3</v>
          </cell>
        </row>
        <row r="87">
          <cell r="B87" t="str">
            <v>D'Andre Swift</v>
          </cell>
          <cell r="C87" t="str">
            <v>CHI</v>
          </cell>
          <cell r="D87">
            <v>209</v>
          </cell>
        </row>
        <row r="88">
          <cell r="B88" t="str">
            <v>Russell Wilson</v>
          </cell>
          <cell r="C88" t="str">
            <v>NYG</v>
          </cell>
          <cell r="D88">
            <v>208</v>
          </cell>
        </row>
        <row r="89">
          <cell r="B89" t="str">
            <v>Aaron Jones</v>
          </cell>
          <cell r="C89" t="str">
            <v>MIN</v>
          </cell>
          <cell r="D89">
            <v>205.8</v>
          </cell>
        </row>
        <row r="90">
          <cell r="B90" t="str">
            <v>Tony Pollard</v>
          </cell>
          <cell r="C90" t="str">
            <v>TEN</v>
          </cell>
          <cell r="D90">
            <v>205.1</v>
          </cell>
        </row>
        <row r="91">
          <cell r="B91" t="str">
            <v>Courtland Sutton</v>
          </cell>
          <cell r="C91" t="str">
            <v>DEN</v>
          </cell>
          <cell r="D91">
            <v>202.6</v>
          </cell>
        </row>
        <row r="92">
          <cell r="B92" t="str">
            <v>Deebo Samuel</v>
          </cell>
          <cell r="C92" t="str">
            <v>WAS</v>
          </cell>
          <cell r="D92">
            <v>198.4</v>
          </cell>
        </row>
        <row r="93">
          <cell r="B93" t="str">
            <v>Chris Godwin</v>
          </cell>
          <cell r="C93" t="str">
            <v>TB</v>
          </cell>
          <cell r="D93">
            <v>197.7</v>
          </cell>
        </row>
        <row r="94">
          <cell r="B94" t="str">
            <v>Jordan Addison</v>
          </cell>
          <cell r="C94" t="str">
            <v>MIN</v>
          </cell>
          <cell r="D94">
            <v>196.9</v>
          </cell>
        </row>
        <row r="95">
          <cell r="B95" t="str">
            <v>Jakobi Meyers</v>
          </cell>
          <cell r="C95" t="str">
            <v>LV</v>
          </cell>
          <cell r="D95">
            <v>196.7</v>
          </cell>
        </row>
        <row r="96">
          <cell r="B96" t="str">
            <v>Chris Olave</v>
          </cell>
          <cell r="C96" t="str">
            <v>NO</v>
          </cell>
          <cell r="D96">
            <v>195.8</v>
          </cell>
        </row>
        <row r="97">
          <cell r="B97" t="str">
            <v>Brandon Aiyuk</v>
          </cell>
          <cell r="C97" t="str">
            <v>SF</v>
          </cell>
          <cell r="D97">
            <v>195.6</v>
          </cell>
        </row>
        <row r="98">
          <cell r="B98" t="str">
            <v>Jerry Jeudy</v>
          </cell>
          <cell r="C98" t="str">
            <v>CLV</v>
          </cell>
          <cell r="D98">
            <v>195.2</v>
          </cell>
        </row>
        <row r="99">
          <cell r="B99" t="str">
            <v>Khalil Shakir</v>
          </cell>
          <cell r="C99" t="str">
            <v>BUF</v>
          </cell>
          <cell r="D99">
            <v>193.8</v>
          </cell>
        </row>
        <row r="100">
          <cell r="B100" t="str">
            <v>Christian Kirk</v>
          </cell>
          <cell r="C100" t="str">
            <v>HST</v>
          </cell>
          <cell r="D100">
            <v>191.8</v>
          </cell>
        </row>
        <row r="101">
          <cell r="B101" t="str">
            <v>Calvin Ridley</v>
          </cell>
          <cell r="C101" t="str">
            <v>TEN</v>
          </cell>
          <cell r="D101">
            <v>191.6</v>
          </cell>
        </row>
        <row r="102">
          <cell r="B102" t="str">
            <v>George Pickens</v>
          </cell>
          <cell r="C102" t="str">
            <v>DAL</v>
          </cell>
          <cell r="D102">
            <v>191.1</v>
          </cell>
        </row>
        <row r="103">
          <cell r="B103" t="str">
            <v>Jauan Jennings</v>
          </cell>
          <cell r="C103" t="str">
            <v>SF</v>
          </cell>
          <cell r="D103">
            <v>189.8</v>
          </cell>
        </row>
        <row r="104">
          <cell r="B104" t="str">
            <v>Cedric Tillman</v>
          </cell>
          <cell r="C104" t="str">
            <v>CLV</v>
          </cell>
          <cell r="D104">
            <v>189.5</v>
          </cell>
        </row>
        <row r="105">
          <cell r="B105" t="str">
            <v>Rome Odunze</v>
          </cell>
          <cell r="C105" t="str">
            <v>CHI</v>
          </cell>
          <cell r="D105">
            <v>188.8</v>
          </cell>
        </row>
        <row r="106">
          <cell r="B106" t="str">
            <v>Isiah Pacheco</v>
          </cell>
          <cell r="C106" t="str">
            <v>KC</v>
          </cell>
          <cell r="D106">
            <v>188.2</v>
          </cell>
        </row>
        <row r="107">
          <cell r="B107" t="str">
            <v>Jaylen Warren</v>
          </cell>
          <cell r="C107" t="str">
            <v>PIT</v>
          </cell>
          <cell r="D107">
            <v>188.2</v>
          </cell>
        </row>
        <row r="108">
          <cell r="B108" t="str">
            <v>Jayden Reed</v>
          </cell>
          <cell r="C108" t="str">
            <v>GB</v>
          </cell>
          <cell r="D108">
            <v>187.7</v>
          </cell>
        </row>
        <row r="109">
          <cell r="B109" t="str">
            <v>David Montgomery</v>
          </cell>
          <cell r="C109" t="str">
            <v>DET</v>
          </cell>
          <cell r="D109">
            <v>187.1</v>
          </cell>
        </row>
        <row r="110">
          <cell r="B110" t="str">
            <v>TJ Hockenson</v>
          </cell>
          <cell r="C110" t="str">
            <v>MIN</v>
          </cell>
          <cell r="D110">
            <v>186.8</v>
          </cell>
        </row>
        <row r="111">
          <cell r="B111" t="str">
            <v>Sam LaPorta</v>
          </cell>
          <cell r="C111" t="str">
            <v>DET</v>
          </cell>
          <cell r="D111">
            <v>182.5</v>
          </cell>
        </row>
        <row r="112">
          <cell r="B112" t="str">
            <v>Darnell Mooney</v>
          </cell>
          <cell r="C112" t="str">
            <v>ATL</v>
          </cell>
          <cell r="D112">
            <v>182</v>
          </cell>
        </row>
        <row r="113">
          <cell r="B113" t="str">
            <v>Rashid Shaheed</v>
          </cell>
          <cell r="C113" t="str">
            <v>NO</v>
          </cell>
          <cell r="D113">
            <v>181.5</v>
          </cell>
        </row>
        <row r="114">
          <cell r="B114" t="str">
            <v>Josh Downs</v>
          </cell>
          <cell r="C114" t="str">
            <v>IND</v>
          </cell>
          <cell r="D114">
            <v>181.4</v>
          </cell>
        </row>
        <row r="115">
          <cell r="B115" t="str">
            <v>Matthew Golden</v>
          </cell>
          <cell r="C115" t="str">
            <v>GB</v>
          </cell>
          <cell r="D115">
            <v>180.2</v>
          </cell>
        </row>
        <row r="116">
          <cell r="B116" t="str">
            <v>Jonnu Smith</v>
          </cell>
          <cell r="C116" t="str">
            <v>MIA</v>
          </cell>
          <cell r="D116">
            <v>179.8</v>
          </cell>
        </row>
        <row r="117">
          <cell r="B117" t="str">
            <v>Wan'Dale Robinson</v>
          </cell>
          <cell r="C117" t="str">
            <v>NYG</v>
          </cell>
          <cell r="D117">
            <v>177.8</v>
          </cell>
        </row>
        <row r="118">
          <cell r="B118" t="str">
            <v>Cooper Kupp</v>
          </cell>
          <cell r="C118" t="str">
            <v>SEA</v>
          </cell>
          <cell r="D118">
            <v>176.8</v>
          </cell>
        </row>
        <row r="119">
          <cell r="B119" t="str">
            <v>Quentin Johnston</v>
          </cell>
          <cell r="C119" t="str">
            <v>LAC</v>
          </cell>
          <cell r="D119">
            <v>174.6</v>
          </cell>
        </row>
        <row r="120">
          <cell r="B120" t="str">
            <v>David Njoku</v>
          </cell>
          <cell r="C120" t="str">
            <v>CLV</v>
          </cell>
          <cell r="D120">
            <v>174.4</v>
          </cell>
        </row>
        <row r="121">
          <cell r="B121" t="str">
            <v>Stefon Diggs</v>
          </cell>
          <cell r="C121" t="str">
            <v>NE</v>
          </cell>
          <cell r="D121">
            <v>173.6</v>
          </cell>
        </row>
        <row r="122">
          <cell r="B122" t="str">
            <v>Keon Coleman</v>
          </cell>
          <cell r="C122" t="str">
            <v>BUF</v>
          </cell>
          <cell r="D122">
            <v>173.4</v>
          </cell>
        </row>
        <row r="123">
          <cell r="B123" t="str">
            <v>Romeo Doubs</v>
          </cell>
          <cell r="C123" t="str">
            <v>GB</v>
          </cell>
          <cell r="D123">
            <v>171.2</v>
          </cell>
        </row>
        <row r="124">
          <cell r="B124" t="str">
            <v>Michael Pittman Jr</v>
          </cell>
          <cell r="C124" t="str">
            <v>IND</v>
          </cell>
          <cell r="D124">
            <v>170.1</v>
          </cell>
        </row>
        <row r="125">
          <cell r="B125" t="str">
            <v>Brian Robinson</v>
          </cell>
          <cell r="C125" t="str">
            <v>WAS</v>
          </cell>
          <cell r="D125">
            <v>170</v>
          </cell>
        </row>
        <row r="126">
          <cell r="B126" t="str">
            <v>Rhamondre Stevenson</v>
          </cell>
          <cell r="C126" t="str">
            <v>NE</v>
          </cell>
          <cell r="D126">
            <v>169.6</v>
          </cell>
        </row>
        <row r="127">
          <cell r="B127" t="str">
            <v>TreVeyon Henderson</v>
          </cell>
          <cell r="C127" t="str">
            <v>NE</v>
          </cell>
          <cell r="D127">
            <v>166.4</v>
          </cell>
        </row>
        <row r="128">
          <cell r="B128" t="str">
            <v>Adam Thielen</v>
          </cell>
          <cell r="C128" t="str">
            <v>CAR</v>
          </cell>
          <cell r="D128">
            <v>165.3</v>
          </cell>
        </row>
        <row r="129">
          <cell r="B129" t="str">
            <v>Calvin Austin III</v>
          </cell>
          <cell r="C129" t="str">
            <v>PIT</v>
          </cell>
          <cell r="D129">
            <v>164.2</v>
          </cell>
        </row>
        <row r="130">
          <cell r="B130" t="str">
            <v>Tyrone Tracy</v>
          </cell>
          <cell r="C130" t="str">
            <v>NYG</v>
          </cell>
          <cell r="D130">
            <v>164</v>
          </cell>
        </row>
        <row r="131">
          <cell r="B131" t="str">
            <v>Travis Kelce</v>
          </cell>
          <cell r="C131" t="str">
            <v>KC</v>
          </cell>
          <cell r="D131">
            <v>158.9</v>
          </cell>
        </row>
        <row r="132">
          <cell r="B132" t="str">
            <v>Travis Etienne Jr</v>
          </cell>
          <cell r="C132" t="str">
            <v>JAX</v>
          </cell>
          <cell r="D132">
            <v>158.80000000000001</v>
          </cell>
        </row>
        <row r="133">
          <cell r="B133" t="str">
            <v>Colston Loveland</v>
          </cell>
          <cell r="C133" t="str">
            <v>CHI</v>
          </cell>
          <cell r="D133">
            <v>158.80000000000001</v>
          </cell>
        </row>
        <row r="134">
          <cell r="B134" t="str">
            <v>Marvin Mims Jr</v>
          </cell>
          <cell r="C134" t="str">
            <v>DEN</v>
          </cell>
          <cell r="D134">
            <v>158.5</v>
          </cell>
        </row>
        <row r="135">
          <cell r="B135" t="str">
            <v>Javonte Williams</v>
          </cell>
          <cell r="C135" t="str">
            <v>DAL</v>
          </cell>
          <cell r="D135">
            <v>158.19999999999999</v>
          </cell>
        </row>
        <row r="136">
          <cell r="B136" t="str">
            <v>Hollywood Brown</v>
          </cell>
          <cell r="C136" t="str">
            <v>KC</v>
          </cell>
          <cell r="D136">
            <v>157.80000000000001</v>
          </cell>
        </row>
        <row r="137">
          <cell r="B137" t="str">
            <v>Cam Skattebo</v>
          </cell>
          <cell r="C137" t="str">
            <v>NYG</v>
          </cell>
          <cell r="D137">
            <v>157.6</v>
          </cell>
        </row>
        <row r="138">
          <cell r="B138" t="str">
            <v>Jake Bates</v>
          </cell>
          <cell r="C138" t="str">
            <v>DET</v>
          </cell>
          <cell r="D138">
            <v>155.5</v>
          </cell>
        </row>
        <row r="139">
          <cell r="B139" t="str">
            <v>Kaleb Johnson</v>
          </cell>
          <cell r="C139" t="str">
            <v>PIT</v>
          </cell>
          <cell r="D139">
            <v>155.30000000000001</v>
          </cell>
        </row>
        <row r="140">
          <cell r="B140" t="str">
            <v>Mark Andrews</v>
          </cell>
          <cell r="C140" t="str">
            <v>BLT</v>
          </cell>
          <cell r="D140">
            <v>154.80000000000001</v>
          </cell>
        </row>
        <row r="141">
          <cell r="B141" t="str">
            <v>Zach Charbonnet</v>
          </cell>
          <cell r="C141" t="str">
            <v>SEA</v>
          </cell>
          <cell r="D141">
            <v>153.9</v>
          </cell>
        </row>
        <row r="142">
          <cell r="B142" t="str">
            <v>Tucker Kraft</v>
          </cell>
          <cell r="C142" t="str">
            <v>GB</v>
          </cell>
          <cell r="D142">
            <v>153.19999999999999</v>
          </cell>
        </row>
        <row r="143">
          <cell r="B143" t="str">
            <v>Jake Elliott</v>
          </cell>
          <cell r="C143" t="str">
            <v>PHI</v>
          </cell>
          <cell r="D143">
            <v>152.69999999999999</v>
          </cell>
        </row>
        <row r="144">
          <cell r="B144" t="str">
            <v>Pat Freiermuth</v>
          </cell>
          <cell r="C144" t="str">
            <v>PIT</v>
          </cell>
          <cell r="D144">
            <v>151.9</v>
          </cell>
        </row>
        <row r="145">
          <cell r="B145" t="str">
            <v>Brandon Aubrey</v>
          </cell>
          <cell r="C145" t="str">
            <v>DAL</v>
          </cell>
          <cell r="D145">
            <v>151.80000000000001</v>
          </cell>
        </row>
        <row r="146">
          <cell r="B146" t="str">
            <v>Tyler Warren</v>
          </cell>
          <cell r="C146" t="str">
            <v>IND</v>
          </cell>
          <cell r="D146">
            <v>151.4</v>
          </cell>
        </row>
        <row r="147">
          <cell r="B147" t="str">
            <v>Tyler Bass</v>
          </cell>
          <cell r="C147" t="str">
            <v>BUF</v>
          </cell>
          <cell r="D147">
            <v>151.1</v>
          </cell>
        </row>
        <row r="148">
          <cell r="B148" t="str">
            <v>Brandon McManus</v>
          </cell>
          <cell r="C148" t="str">
            <v>GB</v>
          </cell>
          <cell r="D148">
            <v>150.69999999999999</v>
          </cell>
        </row>
        <row r="149">
          <cell r="B149" t="str">
            <v>Tyjae Spears</v>
          </cell>
          <cell r="C149" t="str">
            <v>TEN</v>
          </cell>
          <cell r="D149">
            <v>150.6</v>
          </cell>
        </row>
        <row r="150">
          <cell r="B150" t="str">
            <v>Ray-Ray McCloud III</v>
          </cell>
          <cell r="C150" t="str">
            <v>ATL</v>
          </cell>
          <cell r="D150">
            <v>150.6</v>
          </cell>
        </row>
        <row r="151">
          <cell r="B151" t="str">
            <v>Evan Engram</v>
          </cell>
          <cell r="C151" t="str">
            <v>DEN</v>
          </cell>
          <cell r="D151">
            <v>150.19999999999999</v>
          </cell>
        </row>
        <row r="152">
          <cell r="B152" t="str">
            <v>Chris Boswell</v>
          </cell>
          <cell r="C152" t="str">
            <v>PIT</v>
          </cell>
          <cell r="D152">
            <v>150.19999999999999</v>
          </cell>
        </row>
        <row r="153">
          <cell r="B153" t="str">
            <v>Chase McLaughlin</v>
          </cell>
          <cell r="C153" t="str">
            <v>TB</v>
          </cell>
          <cell r="D153">
            <v>150.19999999999999</v>
          </cell>
        </row>
        <row r="154">
          <cell r="B154" t="str">
            <v>Evan McPherson</v>
          </cell>
          <cell r="C154" t="str">
            <v>CIN</v>
          </cell>
          <cell r="D154">
            <v>150.19999999999999</v>
          </cell>
        </row>
        <row r="155">
          <cell r="B155" t="str">
            <v>Cameron Dicker</v>
          </cell>
          <cell r="C155" t="str">
            <v>LAC</v>
          </cell>
          <cell r="D155">
            <v>150.1</v>
          </cell>
        </row>
        <row r="156">
          <cell r="B156" t="str">
            <v>Dalton Kincaid</v>
          </cell>
          <cell r="C156" t="str">
            <v>BUF</v>
          </cell>
          <cell r="D156">
            <v>150</v>
          </cell>
        </row>
        <row r="157">
          <cell r="B157" t="str">
            <v>Tyler Loop</v>
          </cell>
          <cell r="C157" t="str">
            <v>BLT</v>
          </cell>
          <cell r="D157">
            <v>149.6</v>
          </cell>
        </row>
        <row r="158">
          <cell r="B158" t="str">
            <v>Jack Bech</v>
          </cell>
          <cell r="C158" t="str">
            <v>LV</v>
          </cell>
          <cell r="D158">
            <v>149.30000000000001</v>
          </cell>
        </row>
        <row r="159">
          <cell r="B159" t="str">
            <v>Dallas Goedert</v>
          </cell>
          <cell r="C159" t="str">
            <v>PHI</v>
          </cell>
          <cell r="D159">
            <v>148.9</v>
          </cell>
        </row>
        <row r="160">
          <cell r="B160" t="str">
            <v>Harrison Butker</v>
          </cell>
          <cell r="C160" t="str">
            <v>KC</v>
          </cell>
          <cell r="D160">
            <v>148.69999999999999</v>
          </cell>
        </row>
        <row r="161">
          <cell r="B161" t="str">
            <v>Matt Gay</v>
          </cell>
          <cell r="C161" t="str">
            <v>WAS</v>
          </cell>
          <cell r="D161">
            <v>147.69999999999999</v>
          </cell>
        </row>
        <row r="162">
          <cell r="B162" t="str">
            <v>Austin Ekeler</v>
          </cell>
          <cell r="C162" t="str">
            <v>WAS</v>
          </cell>
          <cell r="D162">
            <v>147.6</v>
          </cell>
        </row>
        <row r="163">
          <cell r="B163" t="str">
            <v>Jason Sanders</v>
          </cell>
          <cell r="C163" t="str">
            <v>MIA</v>
          </cell>
          <cell r="D163">
            <v>147.6</v>
          </cell>
        </row>
        <row r="164">
          <cell r="B164" t="str">
            <v>Jason Myers</v>
          </cell>
          <cell r="C164" t="str">
            <v>SEA</v>
          </cell>
          <cell r="D164">
            <v>146.6</v>
          </cell>
        </row>
        <row r="165">
          <cell r="B165" t="str">
            <v>Jake Ferguson</v>
          </cell>
          <cell r="C165" t="str">
            <v>DAL</v>
          </cell>
          <cell r="D165">
            <v>146.30000000000001</v>
          </cell>
        </row>
        <row r="166">
          <cell r="B166" t="str">
            <v>Joshua Karty</v>
          </cell>
          <cell r="C166" t="str">
            <v>LA</v>
          </cell>
          <cell r="D166">
            <v>145.9</v>
          </cell>
        </row>
        <row r="167">
          <cell r="B167" t="str">
            <v>Cam Little</v>
          </cell>
          <cell r="C167" t="str">
            <v>JAX</v>
          </cell>
          <cell r="D167">
            <v>145.30000000000001</v>
          </cell>
        </row>
        <row r="168">
          <cell r="B168" t="str">
            <v>Rashod Bateman</v>
          </cell>
          <cell r="C168" t="str">
            <v>BLT</v>
          </cell>
          <cell r="D168">
            <v>145.19999999999999</v>
          </cell>
        </row>
        <row r="169">
          <cell r="B169" t="str">
            <v>Daniel Carlson</v>
          </cell>
          <cell r="C169" t="str">
            <v>LV</v>
          </cell>
          <cell r="D169">
            <v>145.1</v>
          </cell>
        </row>
        <row r="170">
          <cell r="B170" t="str">
            <v>Demario Douglas</v>
          </cell>
          <cell r="C170" t="str">
            <v>NE</v>
          </cell>
          <cell r="D170">
            <v>144.5</v>
          </cell>
        </row>
        <row r="171">
          <cell r="B171" t="str">
            <v>Graham Gano</v>
          </cell>
          <cell r="C171" t="str">
            <v>NYG</v>
          </cell>
          <cell r="D171">
            <v>144.5</v>
          </cell>
        </row>
        <row r="172">
          <cell r="B172" t="str">
            <v>Ka'imi Fairbairn</v>
          </cell>
          <cell r="C172" t="str">
            <v>HST</v>
          </cell>
          <cell r="D172">
            <v>144.4</v>
          </cell>
        </row>
        <row r="173">
          <cell r="B173" t="str">
            <v>Jake Moody</v>
          </cell>
          <cell r="C173" t="str">
            <v>SF</v>
          </cell>
          <cell r="D173">
            <v>143.4</v>
          </cell>
        </row>
        <row r="174">
          <cell r="B174" t="str">
            <v>Chad Ryland</v>
          </cell>
          <cell r="C174" t="str">
            <v>ARZ</v>
          </cell>
          <cell r="D174">
            <v>142.69999999999999</v>
          </cell>
        </row>
        <row r="175">
          <cell r="B175" t="str">
            <v>Spencer Shrader</v>
          </cell>
          <cell r="C175" t="str">
            <v>IND</v>
          </cell>
          <cell r="D175">
            <v>142.5</v>
          </cell>
        </row>
        <row r="176">
          <cell r="B176" t="str">
            <v>Younghoe Koo</v>
          </cell>
          <cell r="C176" t="str">
            <v>ATL</v>
          </cell>
          <cell r="D176">
            <v>142.4</v>
          </cell>
        </row>
        <row r="177">
          <cell r="B177" t="str">
            <v>Wil Lutz</v>
          </cell>
          <cell r="C177" t="str">
            <v>DEN</v>
          </cell>
          <cell r="D177">
            <v>141.30000000000001</v>
          </cell>
        </row>
        <row r="178">
          <cell r="B178" t="str">
            <v>Cairo Santos</v>
          </cell>
          <cell r="C178" t="str">
            <v>CHI</v>
          </cell>
          <cell r="D178">
            <v>140.4</v>
          </cell>
        </row>
        <row r="179">
          <cell r="B179" t="str">
            <v>Dustin Hopkins</v>
          </cell>
          <cell r="C179" t="str">
            <v>CLV</v>
          </cell>
          <cell r="D179">
            <v>139.6</v>
          </cell>
        </row>
        <row r="180">
          <cell r="B180" t="str">
            <v>Michael Wilson</v>
          </cell>
          <cell r="C180" t="str">
            <v>ARZ</v>
          </cell>
          <cell r="D180">
            <v>139.30000000000001</v>
          </cell>
        </row>
        <row r="181">
          <cell r="B181" t="str">
            <v>Matthew Wright</v>
          </cell>
          <cell r="C181" t="str">
            <v>CAR</v>
          </cell>
          <cell r="D181">
            <v>138.69999999999999</v>
          </cell>
        </row>
        <row r="182">
          <cell r="B182" t="str">
            <v>Blake Grupe</v>
          </cell>
          <cell r="C182" t="str">
            <v>NO</v>
          </cell>
          <cell r="D182">
            <v>138.5</v>
          </cell>
        </row>
        <row r="183">
          <cell r="B183" t="str">
            <v>Kyle Pitts</v>
          </cell>
          <cell r="C183" t="str">
            <v>ATL</v>
          </cell>
          <cell r="D183">
            <v>138.19999999999999</v>
          </cell>
        </row>
        <row r="184">
          <cell r="B184" t="str">
            <v>Will Reichard</v>
          </cell>
          <cell r="C184" t="str">
            <v>MIN</v>
          </cell>
          <cell r="D184">
            <v>137.9</v>
          </cell>
        </row>
        <row r="185">
          <cell r="B185" t="str">
            <v>Joey Slye</v>
          </cell>
          <cell r="C185" t="str">
            <v>TEN</v>
          </cell>
          <cell r="D185">
            <v>137.4</v>
          </cell>
        </row>
        <row r="186">
          <cell r="B186" t="str">
            <v>Andres Borregales</v>
          </cell>
          <cell r="C186" t="str">
            <v>NE</v>
          </cell>
          <cell r="D186">
            <v>137.30000000000001</v>
          </cell>
        </row>
        <row r="187">
          <cell r="B187" t="str">
            <v>Chigoziem Okonkwo</v>
          </cell>
          <cell r="C187" t="str">
            <v>TEN</v>
          </cell>
          <cell r="D187">
            <v>136.80000000000001</v>
          </cell>
        </row>
        <row r="188">
          <cell r="B188" t="str">
            <v>Caden Davis</v>
          </cell>
          <cell r="C188" t="str">
            <v>NYJ</v>
          </cell>
          <cell r="D188">
            <v>136.6</v>
          </cell>
        </row>
        <row r="189">
          <cell r="B189" t="str">
            <v>Ricky Pearsall</v>
          </cell>
          <cell r="C189" t="str">
            <v>SF</v>
          </cell>
          <cell r="D189">
            <v>136.4</v>
          </cell>
        </row>
        <row r="190">
          <cell r="B190" t="str">
            <v>Tyler Lockett</v>
          </cell>
          <cell r="C190" t="str">
            <v>TEN</v>
          </cell>
          <cell r="D190">
            <v>135</v>
          </cell>
        </row>
        <row r="191">
          <cell r="B191" t="str">
            <v>Hunter Henry</v>
          </cell>
          <cell r="C191" t="str">
            <v>NE</v>
          </cell>
          <cell r="D191">
            <v>134.19999999999999</v>
          </cell>
        </row>
        <row r="192">
          <cell r="B192" t="str">
            <v>Brenton Strange</v>
          </cell>
          <cell r="C192" t="str">
            <v>JAX</v>
          </cell>
          <cell r="D192">
            <v>133.80000000000001</v>
          </cell>
        </row>
        <row r="193">
          <cell r="B193" t="str">
            <v>Zach Ertz</v>
          </cell>
          <cell r="C193" t="str">
            <v>WAS</v>
          </cell>
          <cell r="D193">
            <v>130</v>
          </cell>
        </row>
        <row r="194">
          <cell r="B194" t="str">
            <v>Cade Otton</v>
          </cell>
          <cell r="C194" t="str">
            <v>TB</v>
          </cell>
          <cell r="D194">
            <v>129.1</v>
          </cell>
        </row>
        <row r="195">
          <cell r="B195" t="str">
            <v>Emeka Egbuka</v>
          </cell>
          <cell r="C195" t="str">
            <v>TB</v>
          </cell>
          <cell r="D195">
            <v>128.9</v>
          </cell>
        </row>
        <row r="196">
          <cell r="B196" t="str">
            <v>Mike Gesicki</v>
          </cell>
          <cell r="C196" t="str">
            <v>CIN</v>
          </cell>
          <cell r="D196">
            <v>128.4</v>
          </cell>
        </row>
        <row r="197">
          <cell r="B197" t="str">
            <v>Diontae Johnson</v>
          </cell>
          <cell r="C197" t="str">
            <v>CLV</v>
          </cell>
          <cell r="D197">
            <v>127.6</v>
          </cell>
        </row>
        <row r="198">
          <cell r="B198" t="str">
            <v>Joshua Palmer</v>
          </cell>
          <cell r="C198" t="str">
            <v>BUF</v>
          </cell>
          <cell r="D198">
            <v>127.4</v>
          </cell>
        </row>
        <row r="199">
          <cell r="B199" t="str">
            <v>Isaiah Likely</v>
          </cell>
          <cell r="C199" t="str">
            <v>BLT</v>
          </cell>
          <cell r="D199">
            <v>126.5</v>
          </cell>
        </row>
        <row r="200">
          <cell r="B200" t="str">
            <v>Jordan Mason</v>
          </cell>
          <cell r="C200" t="str">
            <v>MIN</v>
          </cell>
          <cell r="D200">
            <v>126</v>
          </cell>
        </row>
        <row r="201">
          <cell r="B201" t="str">
            <v>Kendre Miller</v>
          </cell>
          <cell r="C201" t="str">
            <v>NO</v>
          </cell>
          <cell r="D201">
            <v>125.9</v>
          </cell>
        </row>
        <row r="202">
          <cell r="B202" t="str">
            <v>Darius Slayton</v>
          </cell>
          <cell r="C202" t="str">
            <v>NYG</v>
          </cell>
          <cell r="D202">
            <v>125.9</v>
          </cell>
        </row>
        <row r="203">
          <cell r="B203" t="str">
            <v>Rachaad White</v>
          </cell>
          <cell r="C203" t="str">
            <v>TB</v>
          </cell>
          <cell r="D203">
            <v>125</v>
          </cell>
        </row>
        <row r="204">
          <cell r="B204" t="str">
            <v>Tre Tucker</v>
          </cell>
          <cell r="C204" t="str">
            <v>LV</v>
          </cell>
          <cell r="D204">
            <v>123.8</v>
          </cell>
        </row>
        <row r="205">
          <cell r="B205" t="str">
            <v>Dalton Schultz</v>
          </cell>
          <cell r="C205" t="str">
            <v>HST</v>
          </cell>
          <cell r="D205">
            <v>123.4</v>
          </cell>
        </row>
        <row r="206">
          <cell r="B206" t="str">
            <v>Tutu Atwell</v>
          </cell>
          <cell r="C206" t="str">
            <v>LA</v>
          </cell>
          <cell r="D206">
            <v>122.4</v>
          </cell>
        </row>
        <row r="207">
          <cell r="B207" t="str">
            <v>Pittsburgh Steelers</v>
          </cell>
          <cell r="C207" t="str">
            <v>PIT</v>
          </cell>
          <cell r="D207">
            <v>120.2</v>
          </cell>
        </row>
        <row r="208">
          <cell r="B208" t="str">
            <v>Buffalo Bills</v>
          </cell>
          <cell r="C208" t="str">
            <v>BUF</v>
          </cell>
          <cell r="D208">
            <v>119.5</v>
          </cell>
        </row>
        <row r="209">
          <cell r="B209" t="str">
            <v>San Francisco 49ers</v>
          </cell>
          <cell r="C209" t="str">
            <v>SF</v>
          </cell>
          <cell r="D209">
            <v>118.6</v>
          </cell>
        </row>
        <row r="210">
          <cell r="B210" t="str">
            <v>Tank Bigsby</v>
          </cell>
          <cell r="C210" t="str">
            <v>JAX</v>
          </cell>
          <cell r="D210">
            <v>118.3</v>
          </cell>
        </row>
        <row r="211">
          <cell r="B211" t="str">
            <v>Detroit Lions</v>
          </cell>
          <cell r="C211" t="str">
            <v>DET</v>
          </cell>
          <cell r="D211">
            <v>117.6</v>
          </cell>
        </row>
        <row r="212">
          <cell r="B212" t="str">
            <v>Cleveland Browns</v>
          </cell>
          <cell r="C212" t="str">
            <v>CLE</v>
          </cell>
          <cell r="D212">
            <v>117</v>
          </cell>
        </row>
        <row r="213">
          <cell r="B213" t="str">
            <v>Jayden Higgins</v>
          </cell>
          <cell r="C213" t="str">
            <v>HST</v>
          </cell>
          <cell r="D213">
            <v>116.6</v>
          </cell>
        </row>
        <row r="214">
          <cell r="B214" t="str">
            <v>Justice Hill</v>
          </cell>
          <cell r="C214" t="str">
            <v>BLT</v>
          </cell>
          <cell r="D214">
            <v>116.5</v>
          </cell>
        </row>
        <row r="215">
          <cell r="B215" t="str">
            <v>Xavier Legette</v>
          </cell>
          <cell r="C215" t="str">
            <v>CAR</v>
          </cell>
          <cell r="D215">
            <v>116</v>
          </cell>
        </row>
        <row r="216">
          <cell r="B216" t="str">
            <v>Jalen Tolbert</v>
          </cell>
          <cell r="C216" t="str">
            <v>DAL</v>
          </cell>
          <cell r="D216">
            <v>114.5</v>
          </cell>
        </row>
        <row r="217">
          <cell r="B217" t="str">
            <v>Dallas Cowboys</v>
          </cell>
          <cell r="C217" t="str">
            <v>DAL</v>
          </cell>
          <cell r="D217">
            <v>114.4</v>
          </cell>
        </row>
        <row r="218">
          <cell r="B218" t="str">
            <v>Philadelphia Eagles</v>
          </cell>
          <cell r="C218" t="str">
            <v>PHI</v>
          </cell>
          <cell r="D218">
            <v>114.1</v>
          </cell>
        </row>
        <row r="219">
          <cell r="B219" t="str">
            <v>Andrei Iosivas</v>
          </cell>
          <cell r="C219" t="str">
            <v>CIN</v>
          </cell>
          <cell r="D219">
            <v>113.5</v>
          </cell>
        </row>
        <row r="220">
          <cell r="B220" t="str">
            <v>Denver Broncos</v>
          </cell>
          <cell r="C220" t="str">
            <v>DEN</v>
          </cell>
          <cell r="D220">
            <v>113.3</v>
          </cell>
        </row>
        <row r="221">
          <cell r="B221" t="str">
            <v>Roman Wilson</v>
          </cell>
          <cell r="C221" t="str">
            <v>PIT</v>
          </cell>
          <cell r="D221">
            <v>113</v>
          </cell>
        </row>
        <row r="222">
          <cell r="B222" t="str">
            <v>Juwan Johnson</v>
          </cell>
          <cell r="C222" t="str">
            <v>NO</v>
          </cell>
          <cell r="D222">
            <v>112.7</v>
          </cell>
        </row>
        <row r="223">
          <cell r="B223" t="str">
            <v>Noah Brown</v>
          </cell>
          <cell r="C223" t="str">
            <v>WAS</v>
          </cell>
          <cell r="D223">
            <v>112.3</v>
          </cell>
        </row>
        <row r="224">
          <cell r="B224" t="str">
            <v>Minnesota Vikings</v>
          </cell>
          <cell r="C224" t="str">
            <v>MIN</v>
          </cell>
          <cell r="D224">
            <v>112.2</v>
          </cell>
        </row>
        <row r="225">
          <cell r="B225" t="str">
            <v>Green Bay Packers</v>
          </cell>
          <cell r="C225" t="str">
            <v>GB</v>
          </cell>
          <cell r="D225">
            <v>111.9</v>
          </cell>
        </row>
        <row r="226">
          <cell r="B226" t="str">
            <v>New England Patriots</v>
          </cell>
          <cell r="C226" t="str">
            <v>NE</v>
          </cell>
          <cell r="D226">
            <v>111.6</v>
          </cell>
        </row>
        <row r="227">
          <cell r="B227" t="str">
            <v>Los Angeles (LAR) Rams</v>
          </cell>
          <cell r="C227" t="str">
            <v>LAR</v>
          </cell>
          <cell r="D227">
            <v>111.6</v>
          </cell>
        </row>
        <row r="228">
          <cell r="B228" t="str">
            <v>Houston Texans</v>
          </cell>
          <cell r="C228" t="str">
            <v>HOU</v>
          </cell>
          <cell r="D228">
            <v>111.5</v>
          </cell>
        </row>
        <row r="229">
          <cell r="B229" t="str">
            <v>Theo Johnson</v>
          </cell>
          <cell r="C229" t="str">
            <v>NYG</v>
          </cell>
          <cell r="D229">
            <v>110.8</v>
          </cell>
        </row>
        <row r="230">
          <cell r="B230" t="str">
            <v>Isaac Guerendo</v>
          </cell>
          <cell r="C230" t="str">
            <v>SF</v>
          </cell>
          <cell r="D230">
            <v>110.3</v>
          </cell>
        </row>
        <row r="231">
          <cell r="B231" t="str">
            <v>Roschon Johnson</v>
          </cell>
          <cell r="C231" t="str">
            <v>CHI</v>
          </cell>
          <cell r="D231">
            <v>110.3</v>
          </cell>
        </row>
        <row r="232">
          <cell r="B232" t="str">
            <v>Brandin Cooks</v>
          </cell>
          <cell r="C232" t="str">
            <v>NO</v>
          </cell>
          <cell r="D232">
            <v>110.3</v>
          </cell>
        </row>
        <row r="233">
          <cell r="B233" t="str">
            <v>Tampa Bay Buccaneers</v>
          </cell>
          <cell r="C233" t="str">
            <v>TB</v>
          </cell>
          <cell r="D233">
            <v>110.2</v>
          </cell>
        </row>
        <row r="234">
          <cell r="B234" t="str">
            <v>Mason Taylor</v>
          </cell>
          <cell r="C234" t="str">
            <v>NYJ</v>
          </cell>
          <cell r="D234">
            <v>110.1</v>
          </cell>
        </row>
        <row r="235">
          <cell r="B235" t="str">
            <v>New York (NYG) Giants</v>
          </cell>
          <cell r="C235" t="str">
            <v>NYG</v>
          </cell>
          <cell r="D235">
            <v>110.1</v>
          </cell>
        </row>
        <row r="236">
          <cell r="B236" t="str">
            <v>Seattle Seahawks</v>
          </cell>
          <cell r="C236" t="str">
            <v>SEA</v>
          </cell>
          <cell r="D236">
            <v>110.1</v>
          </cell>
        </row>
        <row r="237">
          <cell r="B237" t="str">
            <v>Jaydon Blue</v>
          </cell>
          <cell r="C237" t="str">
            <v>DAL</v>
          </cell>
          <cell r="D237">
            <v>110</v>
          </cell>
        </row>
        <row r="238">
          <cell r="B238" t="str">
            <v>Miami Dolphins</v>
          </cell>
          <cell r="C238" t="str">
            <v>MIA</v>
          </cell>
          <cell r="D238">
            <v>110</v>
          </cell>
        </row>
        <row r="239">
          <cell r="B239" t="str">
            <v>Ja'Tavion Sanders</v>
          </cell>
          <cell r="C239" t="str">
            <v>CAR</v>
          </cell>
          <cell r="D239">
            <v>109.8</v>
          </cell>
        </row>
        <row r="240">
          <cell r="B240" t="str">
            <v>Indianapolis Colts</v>
          </cell>
          <cell r="C240" t="str">
            <v>IND</v>
          </cell>
          <cell r="D240">
            <v>108.9</v>
          </cell>
        </row>
        <row r="241">
          <cell r="B241" t="str">
            <v>New York (NYJ) Jets</v>
          </cell>
          <cell r="C241" t="str">
            <v>NYJ</v>
          </cell>
          <cell r="D241">
            <v>108.9</v>
          </cell>
        </row>
        <row r="242">
          <cell r="B242" t="str">
            <v>JK Dobbins</v>
          </cell>
          <cell r="C242" t="str">
            <v>DEN</v>
          </cell>
          <cell r="D242">
            <v>108.8</v>
          </cell>
        </row>
        <row r="243">
          <cell r="B243" t="str">
            <v>Cincinnati Bengals</v>
          </cell>
          <cell r="C243" t="str">
            <v>CIN</v>
          </cell>
          <cell r="D243">
            <v>108.8</v>
          </cell>
        </row>
        <row r="244">
          <cell r="B244" t="str">
            <v>Trey Benson</v>
          </cell>
          <cell r="C244" t="str">
            <v>ARZ</v>
          </cell>
          <cell r="D244">
            <v>108.5</v>
          </cell>
        </row>
        <row r="245">
          <cell r="B245" t="str">
            <v>New Orleans Saints</v>
          </cell>
          <cell r="C245" t="str">
            <v>NO</v>
          </cell>
          <cell r="D245">
            <v>108.4</v>
          </cell>
        </row>
        <row r="246">
          <cell r="B246" t="str">
            <v>Arizona Cardinals</v>
          </cell>
          <cell r="C246" t="str">
            <v>ARZ</v>
          </cell>
          <cell r="D246">
            <v>108.2</v>
          </cell>
        </row>
        <row r="247">
          <cell r="B247" t="str">
            <v>Jacksonville Jaguars</v>
          </cell>
          <cell r="C247" t="str">
            <v>JAX</v>
          </cell>
          <cell r="D247">
            <v>108.1</v>
          </cell>
        </row>
        <row r="248">
          <cell r="B248" t="str">
            <v>Atlanta Falcons</v>
          </cell>
          <cell r="C248" t="str">
            <v>ATL</v>
          </cell>
          <cell r="D248">
            <v>107.7</v>
          </cell>
        </row>
        <row r="249">
          <cell r="B249" t="str">
            <v>Chicago Bears</v>
          </cell>
          <cell r="C249" t="str">
            <v>CHI</v>
          </cell>
          <cell r="D249">
            <v>107.3</v>
          </cell>
        </row>
        <row r="250">
          <cell r="B250" t="str">
            <v>Tyler Conklin</v>
          </cell>
          <cell r="C250" t="str">
            <v>LAC</v>
          </cell>
          <cell r="D250">
            <v>106.9</v>
          </cell>
        </row>
        <row r="251">
          <cell r="B251" t="str">
            <v>Kansas City Chiefs</v>
          </cell>
          <cell r="C251" t="str">
            <v>KC</v>
          </cell>
          <cell r="D251">
            <v>106.5</v>
          </cell>
        </row>
        <row r="252">
          <cell r="B252" t="str">
            <v>Las Vegas Raiders</v>
          </cell>
          <cell r="C252" t="str">
            <v>LV</v>
          </cell>
          <cell r="D252">
            <v>105.5</v>
          </cell>
        </row>
        <row r="253">
          <cell r="B253" t="str">
            <v>Tennessee Titans</v>
          </cell>
          <cell r="C253" t="str">
            <v>TEN</v>
          </cell>
          <cell r="D253">
            <v>105.4</v>
          </cell>
        </row>
        <row r="254">
          <cell r="B254" t="str">
            <v>Washington Commanders</v>
          </cell>
          <cell r="C254" t="str">
            <v>WAS</v>
          </cell>
          <cell r="D254">
            <v>105.4</v>
          </cell>
        </row>
        <row r="255">
          <cell r="B255" t="str">
            <v>Tre Harris</v>
          </cell>
          <cell r="C255" t="str">
            <v>LAC</v>
          </cell>
          <cell r="D255">
            <v>104.7</v>
          </cell>
        </row>
        <row r="256">
          <cell r="B256" t="str">
            <v>Los Angeles (LAC) Chargers</v>
          </cell>
          <cell r="C256" t="str">
            <v>LAC</v>
          </cell>
          <cell r="D256">
            <v>104.5</v>
          </cell>
        </row>
        <row r="257">
          <cell r="B257" t="str">
            <v>Baltimore Ravens</v>
          </cell>
          <cell r="C257" t="str">
            <v>BAL</v>
          </cell>
          <cell r="D257">
            <v>104.4</v>
          </cell>
        </row>
        <row r="258">
          <cell r="B258" t="str">
            <v>DeAndre Hopkins</v>
          </cell>
          <cell r="C258" t="str">
            <v>BLT</v>
          </cell>
          <cell r="D258">
            <v>102.9</v>
          </cell>
        </row>
        <row r="259">
          <cell r="B259" t="str">
            <v>Rico Dowdle</v>
          </cell>
          <cell r="C259" t="str">
            <v>CAR</v>
          </cell>
          <cell r="D259">
            <v>102.8</v>
          </cell>
        </row>
        <row r="260">
          <cell r="B260" t="str">
            <v>Ray Davis</v>
          </cell>
          <cell r="C260" t="str">
            <v>BUF</v>
          </cell>
          <cell r="D260">
            <v>102.6</v>
          </cell>
        </row>
        <row r="261">
          <cell r="B261" t="str">
            <v>Tyler Allgeier</v>
          </cell>
          <cell r="C261" t="str">
            <v>ATL</v>
          </cell>
          <cell r="D261">
            <v>101.7</v>
          </cell>
        </row>
        <row r="262">
          <cell r="B262" t="str">
            <v>Jaylen Wright</v>
          </cell>
          <cell r="C262" t="str">
            <v>MIA</v>
          </cell>
          <cell r="D262">
            <v>101.1</v>
          </cell>
        </row>
        <row r="263">
          <cell r="B263" t="str">
            <v>Noah Fant</v>
          </cell>
          <cell r="C263" t="str">
            <v>SEA</v>
          </cell>
          <cell r="D263">
            <v>101.1</v>
          </cell>
        </row>
        <row r="264">
          <cell r="B264" t="str">
            <v>Dylan Sampson</v>
          </cell>
          <cell r="C264" t="str">
            <v>CLV</v>
          </cell>
          <cell r="D264">
            <v>101</v>
          </cell>
        </row>
        <row r="265">
          <cell r="B265" t="str">
            <v>Alec Pierce</v>
          </cell>
          <cell r="C265" t="str">
            <v>IND</v>
          </cell>
          <cell r="D265">
            <v>99.9</v>
          </cell>
        </row>
        <row r="266">
          <cell r="B266" t="str">
            <v>Tyler Higbee</v>
          </cell>
          <cell r="C266" t="str">
            <v>LA</v>
          </cell>
          <cell r="D266">
            <v>99.9</v>
          </cell>
        </row>
        <row r="267">
          <cell r="B267" t="str">
            <v>Luther Burden III</v>
          </cell>
          <cell r="C267" t="str">
            <v>CHI</v>
          </cell>
          <cell r="D267">
            <v>98.5</v>
          </cell>
        </row>
        <row r="268">
          <cell r="B268" t="str">
            <v>Jalen McMillan</v>
          </cell>
          <cell r="C268" t="str">
            <v>TB</v>
          </cell>
          <cell r="D268">
            <v>98.2</v>
          </cell>
        </row>
        <row r="269">
          <cell r="B269" t="str">
            <v>Carolina Panthers</v>
          </cell>
          <cell r="C269" t="str">
            <v>CAR</v>
          </cell>
          <cell r="D269">
            <v>97.7</v>
          </cell>
        </row>
        <row r="270">
          <cell r="B270" t="str">
            <v>MarShawn Lloyd</v>
          </cell>
          <cell r="C270" t="str">
            <v>GB</v>
          </cell>
          <cell r="D270">
            <v>95.5</v>
          </cell>
        </row>
        <row r="271">
          <cell r="B271" t="str">
            <v>Najee Harris</v>
          </cell>
          <cell r="C271" t="str">
            <v>LAC</v>
          </cell>
          <cell r="D271">
            <v>95</v>
          </cell>
        </row>
        <row r="272">
          <cell r="B272" t="str">
            <v>Nick Westbrook-Ikhine</v>
          </cell>
          <cell r="C272" t="str">
            <v>MIA</v>
          </cell>
          <cell r="D272">
            <v>94.2</v>
          </cell>
        </row>
        <row r="273">
          <cell r="B273" t="str">
            <v>Dyami Brown</v>
          </cell>
          <cell r="C273" t="str">
            <v>JAX</v>
          </cell>
          <cell r="D273">
            <v>91</v>
          </cell>
        </row>
        <row r="274">
          <cell r="B274" t="str">
            <v>Mike Williams</v>
          </cell>
          <cell r="C274" t="str">
            <v>LAC</v>
          </cell>
          <cell r="D274">
            <v>89.7</v>
          </cell>
        </row>
        <row r="275">
          <cell r="B275" t="str">
            <v>KaVontae Turpin</v>
          </cell>
          <cell r="C275" t="str">
            <v>DAL</v>
          </cell>
          <cell r="D275">
            <v>89.5</v>
          </cell>
        </row>
        <row r="276">
          <cell r="B276" t="str">
            <v>Kendrick Bourne</v>
          </cell>
          <cell r="C276" t="str">
            <v>NE</v>
          </cell>
          <cell r="D276">
            <v>89.4</v>
          </cell>
        </row>
        <row r="277">
          <cell r="B277" t="str">
            <v>Marquez Valdes-Scantling</v>
          </cell>
          <cell r="C277" t="str">
            <v>SEA</v>
          </cell>
          <cell r="D277">
            <v>88.9</v>
          </cell>
        </row>
        <row r="278">
          <cell r="B278" t="str">
            <v>Devaughn Vele</v>
          </cell>
          <cell r="C278" t="str">
            <v>DEN</v>
          </cell>
          <cell r="D278">
            <v>88.6</v>
          </cell>
        </row>
        <row r="279">
          <cell r="B279" t="str">
            <v>Kyle Williams</v>
          </cell>
          <cell r="C279" t="str">
            <v>NE</v>
          </cell>
          <cell r="D279">
            <v>87.6</v>
          </cell>
        </row>
        <row r="280">
          <cell r="B280" t="str">
            <v>Will Dissly</v>
          </cell>
          <cell r="C280" t="str">
            <v>LAC</v>
          </cell>
          <cell r="D280">
            <v>85.4</v>
          </cell>
        </row>
        <row r="281">
          <cell r="B281" t="str">
            <v>Elijah Arroyo</v>
          </cell>
          <cell r="C281" t="str">
            <v>SEA</v>
          </cell>
          <cell r="D281">
            <v>84.5</v>
          </cell>
        </row>
        <row r="282">
          <cell r="B282" t="str">
            <v>Noah Gray</v>
          </cell>
          <cell r="C282" t="str">
            <v>KC</v>
          </cell>
          <cell r="D282">
            <v>84.2</v>
          </cell>
        </row>
        <row r="283">
          <cell r="B283" t="str">
            <v>Braelon Allen</v>
          </cell>
          <cell r="C283" t="str">
            <v>NYJ</v>
          </cell>
          <cell r="D283">
            <v>83.7</v>
          </cell>
        </row>
        <row r="284">
          <cell r="B284" t="str">
            <v>Tim Patrick</v>
          </cell>
          <cell r="C284" t="str">
            <v>DET</v>
          </cell>
          <cell r="D284">
            <v>83.2</v>
          </cell>
        </row>
        <row r="285">
          <cell r="B285" t="str">
            <v>Michael Mayer</v>
          </cell>
          <cell r="C285" t="str">
            <v>LV</v>
          </cell>
          <cell r="D285">
            <v>83</v>
          </cell>
        </row>
        <row r="286">
          <cell r="B286" t="str">
            <v>Austin Hooper</v>
          </cell>
          <cell r="C286" t="str">
            <v>NE</v>
          </cell>
          <cell r="D286">
            <v>81</v>
          </cell>
        </row>
        <row r="287">
          <cell r="B287" t="str">
            <v>Arian Smith</v>
          </cell>
          <cell r="C287" t="str">
            <v>NYJ</v>
          </cell>
          <cell r="D287">
            <v>79.900000000000006</v>
          </cell>
        </row>
        <row r="288">
          <cell r="B288" t="str">
            <v>Alexander Mattison</v>
          </cell>
          <cell r="C288" t="str">
            <v>MIA</v>
          </cell>
          <cell r="D288">
            <v>78.7</v>
          </cell>
        </row>
        <row r="289">
          <cell r="B289" t="str">
            <v>Pat Bryant</v>
          </cell>
          <cell r="C289" t="str">
            <v>DEN</v>
          </cell>
          <cell r="D289">
            <v>78.099999999999994</v>
          </cell>
        </row>
        <row r="290">
          <cell r="B290" t="str">
            <v>Troy Franklin</v>
          </cell>
          <cell r="C290" t="str">
            <v>DEN</v>
          </cell>
          <cell r="D290">
            <v>77</v>
          </cell>
        </row>
        <row r="291">
          <cell r="B291" t="str">
            <v>Kareem Hunt</v>
          </cell>
          <cell r="C291" t="str">
            <v>KC</v>
          </cell>
          <cell r="D291">
            <v>76.599999999999994</v>
          </cell>
        </row>
        <row r="292">
          <cell r="B292" t="str">
            <v>Jalen Nailor</v>
          </cell>
          <cell r="C292" t="str">
            <v>MIN</v>
          </cell>
          <cell r="D292">
            <v>75.2</v>
          </cell>
        </row>
        <row r="293">
          <cell r="B293" t="str">
            <v>Adonai Mitchell</v>
          </cell>
          <cell r="C293" t="str">
            <v>IND</v>
          </cell>
          <cell r="D293">
            <v>74.2</v>
          </cell>
        </row>
        <row r="294">
          <cell r="B294" t="str">
            <v>Raheem Mostert</v>
          </cell>
          <cell r="C294" t="str">
            <v>LV</v>
          </cell>
          <cell r="D294">
            <v>73.599999999999994</v>
          </cell>
        </row>
        <row r="295">
          <cell r="B295" t="str">
            <v>Dontayvion Wicks</v>
          </cell>
          <cell r="C295" t="str">
            <v>GB</v>
          </cell>
          <cell r="D295">
            <v>73.599999999999994</v>
          </cell>
        </row>
        <row r="296">
          <cell r="B296" t="str">
            <v>Dawson Knox</v>
          </cell>
          <cell r="C296" t="str">
            <v>BUF</v>
          </cell>
          <cell r="D296">
            <v>72.8</v>
          </cell>
        </row>
        <row r="297">
          <cell r="B297" t="str">
            <v>Samaje Perine</v>
          </cell>
          <cell r="C297" t="str">
            <v>CIN</v>
          </cell>
          <cell r="D297">
            <v>72.5</v>
          </cell>
        </row>
        <row r="298">
          <cell r="B298" t="str">
            <v>Nick Chubb</v>
          </cell>
          <cell r="C298" t="str">
            <v>HST</v>
          </cell>
          <cell r="D298">
            <v>72.400000000000006</v>
          </cell>
        </row>
        <row r="299">
          <cell r="B299" t="str">
            <v>Woody Marks</v>
          </cell>
          <cell r="C299" t="str">
            <v>HST</v>
          </cell>
          <cell r="D299">
            <v>72.400000000000006</v>
          </cell>
        </row>
        <row r="300">
          <cell r="B300" t="str">
            <v>Jordan Whittington</v>
          </cell>
          <cell r="C300" t="str">
            <v>LA</v>
          </cell>
          <cell r="D300">
            <v>72.099999999999994</v>
          </cell>
        </row>
        <row r="301">
          <cell r="B301" t="str">
            <v>Foster Moreau</v>
          </cell>
          <cell r="C301" t="str">
            <v>NO</v>
          </cell>
          <cell r="D301">
            <v>71.5</v>
          </cell>
        </row>
        <row r="302">
          <cell r="B302" t="str">
            <v>Blake Corum</v>
          </cell>
          <cell r="C302" t="str">
            <v>LA</v>
          </cell>
          <cell r="D302">
            <v>71.400000000000006</v>
          </cell>
        </row>
        <row r="303">
          <cell r="B303" t="str">
            <v>Parker Washington</v>
          </cell>
          <cell r="C303" t="str">
            <v>JAX</v>
          </cell>
          <cell r="D303">
            <v>71.3</v>
          </cell>
        </row>
        <row r="304">
          <cell r="B304" t="str">
            <v>AJ Dillon</v>
          </cell>
          <cell r="C304" t="str">
            <v>PHI</v>
          </cell>
          <cell r="D304">
            <v>71.2</v>
          </cell>
        </row>
        <row r="305">
          <cell r="B305" t="str">
            <v>Van Jefferson</v>
          </cell>
          <cell r="C305" t="str">
            <v>TEN</v>
          </cell>
          <cell r="D305">
            <v>69.599999999999994</v>
          </cell>
        </row>
        <row r="306">
          <cell r="B306" t="str">
            <v>Daniel Jones</v>
          </cell>
          <cell r="C306" t="str">
            <v>IND</v>
          </cell>
          <cell r="D306">
            <v>69.099999999999994</v>
          </cell>
        </row>
        <row r="307">
          <cell r="B307" t="str">
            <v>Zack Moss</v>
          </cell>
          <cell r="C307" t="str">
            <v>CIN</v>
          </cell>
          <cell r="D307">
            <v>68.5</v>
          </cell>
        </row>
        <row r="308">
          <cell r="B308" t="str">
            <v>Elijah Mitchell</v>
          </cell>
          <cell r="C308" t="str">
            <v>KC</v>
          </cell>
          <cell r="D308">
            <v>67.2</v>
          </cell>
        </row>
        <row r="309">
          <cell r="B309" t="str">
            <v>Miles Sanders</v>
          </cell>
          <cell r="C309" t="str">
            <v>DAL</v>
          </cell>
          <cell r="D309">
            <v>66.3</v>
          </cell>
        </row>
        <row r="310">
          <cell r="B310" t="str">
            <v>Josh Reynolds</v>
          </cell>
          <cell r="C310" t="str">
            <v>NYJ</v>
          </cell>
          <cell r="D310">
            <v>65.900000000000006</v>
          </cell>
        </row>
        <row r="311">
          <cell r="B311" t="str">
            <v>Ty Johnson</v>
          </cell>
          <cell r="C311" t="str">
            <v>BUF</v>
          </cell>
          <cell r="D311">
            <v>64.8</v>
          </cell>
        </row>
        <row r="312">
          <cell r="B312" t="str">
            <v>Jalen Royals</v>
          </cell>
          <cell r="C312" t="str">
            <v>KC</v>
          </cell>
          <cell r="D312">
            <v>64.3</v>
          </cell>
        </row>
        <row r="313">
          <cell r="B313" t="str">
            <v>Jahan Dotson</v>
          </cell>
          <cell r="C313" t="str">
            <v>PHI</v>
          </cell>
          <cell r="D313">
            <v>64.099999999999994</v>
          </cell>
        </row>
        <row r="314">
          <cell r="B314" t="str">
            <v>Jalen Coker</v>
          </cell>
          <cell r="C314" t="str">
            <v>CAR</v>
          </cell>
          <cell r="D314">
            <v>63.4</v>
          </cell>
        </row>
        <row r="315">
          <cell r="B315" t="str">
            <v>Malik Washington</v>
          </cell>
          <cell r="C315" t="str">
            <v>MIA</v>
          </cell>
          <cell r="D315">
            <v>63.1</v>
          </cell>
        </row>
        <row r="316">
          <cell r="B316" t="str">
            <v>Bhayshul Tuten</v>
          </cell>
          <cell r="C316" t="str">
            <v>JAX</v>
          </cell>
          <cell r="D316">
            <v>62.9</v>
          </cell>
        </row>
        <row r="317">
          <cell r="B317" t="str">
            <v>Emari Demercado</v>
          </cell>
          <cell r="C317" t="str">
            <v>ARZ</v>
          </cell>
          <cell r="D317">
            <v>62.8</v>
          </cell>
        </row>
        <row r="318">
          <cell r="B318" t="str">
            <v>Emanuel Wilson</v>
          </cell>
          <cell r="C318" t="str">
            <v>GB</v>
          </cell>
          <cell r="D318">
            <v>60.1</v>
          </cell>
        </row>
        <row r="319">
          <cell r="B319" t="str">
            <v>Chimere Dike</v>
          </cell>
          <cell r="C319" t="str">
            <v>TEN</v>
          </cell>
          <cell r="D319">
            <v>58.9</v>
          </cell>
        </row>
        <row r="320">
          <cell r="B320" t="str">
            <v>Terrance Ferguson</v>
          </cell>
          <cell r="C320" t="str">
            <v>LA</v>
          </cell>
          <cell r="D320">
            <v>58.6</v>
          </cell>
        </row>
        <row r="321">
          <cell r="B321" t="str">
            <v>Devin Singletary</v>
          </cell>
          <cell r="C321" t="str">
            <v>NYG</v>
          </cell>
          <cell r="D321">
            <v>58.1</v>
          </cell>
        </row>
        <row r="322">
          <cell r="B322" t="str">
            <v>Robert Woods</v>
          </cell>
          <cell r="C322" t="str">
            <v>PIT</v>
          </cell>
          <cell r="D322">
            <v>57</v>
          </cell>
        </row>
        <row r="323">
          <cell r="B323" t="str">
            <v>Isaiah Davis</v>
          </cell>
          <cell r="C323" t="str">
            <v>NYJ</v>
          </cell>
          <cell r="D323">
            <v>56.6</v>
          </cell>
        </row>
        <row r="324">
          <cell r="B324" t="str">
            <v>Curtis Samuel</v>
          </cell>
          <cell r="C324" t="str">
            <v>BUF</v>
          </cell>
          <cell r="D324">
            <v>55.1</v>
          </cell>
        </row>
        <row r="325">
          <cell r="B325" t="str">
            <v>Jaxson Dart</v>
          </cell>
          <cell r="C325" t="str">
            <v>NYG</v>
          </cell>
          <cell r="D325">
            <v>54.9</v>
          </cell>
        </row>
        <row r="326">
          <cell r="B326" t="str">
            <v>Greg Dortch</v>
          </cell>
          <cell r="C326" t="str">
            <v>ARZ</v>
          </cell>
          <cell r="D326">
            <v>54.4</v>
          </cell>
        </row>
        <row r="327">
          <cell r="B327" t="str">
            <v>Jermaine Burton</v>
          </cell>
          <cell r="C327" t="str">
            <v>CIN</v>
          </cell>
          <cell r="D327">
            <v>52.6</v>
          </cell>
        </row>
        <row r="328">
          <cell r="B328" t="str">
            <v>JuJu Smith-Schuster</v>
          </cell>
          <cell r="C328" t="str">
            <v>KC</v>
          </cell>
          <cell r="D328">
            <v>51.1</v>
          </cell>
        </row>
        <row r="329">
          <cell r="B329" t="str">
            <v>Demarcus Robinson</v>
          </cell>
          <cell r="C329" t="str">
            <v>SF</v>
          </cell>
          <cell r="D329">
            <v>50.6</v>
          </cell>
        </row>
        <row r="330">
          <cell r="B330" t="str">
            <v>Elijah Moore</v>
          </cell>
          <cell r="C330" t="str">
            <v>BUF</v>
          </cell>
          <cell r="D330">
            <v>50.3</v>
          </cell>
        </row>
        <row r="331">
          <cell r="B331" t="str">
            <v>Tommy Tremble</v>
          </cell>
          <cell r="C331" t="str">
            <v>CAR</v>
          </cell>
          <cell r="D331">
            <v>50</v>
          </cell>
        </row>
        <row r="332">
          <cell r="B332" t="str">
            <v>Ben Sinnott</v>
          </cell>
          <cell r="C332" t="str">
            <v>WAS</v>
          </cell>
          <cell r="D332">
            <v>49.2</v>
          </cell>
        </row>
        <row r="333">
          <cell r="B333" t="str">
            <v>Allen Lazard</v>
          </cell>
          <cell r="C333" t="str">
            <v>NYJ</v>
          </cell>
          <cell r="D333">
            <v>48.2</v>
          </cell>
        </row>
        <row r="334">
          <cell r="B334" t="str">
            <v>Josh Oliver</v>
          </cell>
          <cell r="C334" t="str">
            <v>MIN</v>
          </cell>
          <cell r="D334">
            <v>48</v>
          </cell>
        </row>
        <row r="335">
          <cell r="B335" t="str">
            <v>Kalif Raymond</v>
          </cell>
          <cell r="C335" t="str">
            <v>DET</v>
          </cell>
          <cell r="D335">
            <v>47.7</v>
          </cell>
        </row>
        <row r="336">
          <cell r="B336" t="str">
            <v>Luke Schoonmaker</v>
          </cell>
          <cell r="C336" t="str">
            <v>DAL</v>
          </cell>
          <cell r="D336">
            <v>47.3</v>
          </cell>
        </row>
        <row r="337">
          <cell r="B337" t="str">
            <v>Jerome Ford</v>
          </cell>
          <cell r="C337" t="str">
            <v>CLV</v>
          </cell>
          <cell r="D337">
            <v>47.2</v>
          </cell>
        </row>
        <row r="338">
          <cell r="B338" t="str">
            <v>Tanner Hudson</v>
          </cell>
          <cell r="C338" t="str">
            <v>CIN</v>
          </cell>
          <cell r="D338">
            <v>47.2</v>
          </cell>
        </row>
        <row r="339">
          <cell r="B339" t="str">
            <v>Keaton Mitchell</v>
          </cell>
          <cell r="C339" t="str">
            <v>BLT</v>
          </cell>
          <cell r="D339">
            <v>47</v>
          </cell>
        </row>
        <row r="340">
          <cell r="B340" t="str">
            <v>Cade Stover</v>
          </cell>
          <cell r="C340" t="str">
            <v>HST</v>
          </cell>
          <cell r="D340">
            <v>46.9</v>
          </cell>
        </row>
        <row r="341">
          <cell r="B341" t="str">
            <v>DJ Giddens</v>
          </cell>
          <cell r="C341" t="str">
            <v>IND</v>
          </cell>
          <cell r="D341">
            <v>46.4</v>
          </cell>
        </row>
        <row r="342">
          <cell r="B342" t="str">
            <v>Harold Fannin Jr</v>
          </cell>
          <cell r="C342" t="str">
            <v>CLV</v>
          </cell>
          <cell r="D342">
            <v>46.2</v>
          </cell>
        </row>
        <row r="343">
          <cell r="B343" t="str">
            <v>Josh Whyle</v>
          </cell>
          <cell r="C343" t="str">
            <v>TEN</v>
          </cell>
          <cell r="D343">
            <v>45.5</v>
          </cell>
        </row>
        <row r="344">
          <cell r="B344" t="str">
            <v>Elijah Higgins</v>
          </cell>
          <cell r="C344" t="str">
            <v>ARZ</v>
          </cell>
          <cell r="D344">
            <v>45.2</v>
          </cell>
        </row>
        <row r="345">
          <cell r="B345" t="str">
            <v>Jaylin Lane</v>
          </cell>
          <cell r="C345" t="str">
            <v>WAS</v>
          </cell>
          <cell r="D345">
            <v>44.1</v>
          </cell>
        </row>
        <row r="346">
          <cell r="B346" t="str">
            <v>Trevor Etienne</v>
          </cell>
          <cell r="C346" t="str">
            <v>CAR</v>
          </cell>
          <cell r="D346">
            <v>43.8</v>
          </cell>
        </row>
        <row r="347">
          <cell r="B347" t="str">
            <v>Grant Calcaterra</v>
          </cell>
          <cell r="C347" t="str">
            <v>PHI</v>
          </cell>
          <cell r="D347">
            <v>43.7</v>
          </cell>
        </row>
        <row r="348">
          <cell r="B348" t="str">
            <v>Cole Kmet</v>
          </cell>
          <cell r="C348" t="str">
            <v>CHI</v>
          </cell>
          <cell r="D348">
            <v>43.2</v>
          </cell>
        </row>
        <row r="349">
          <cell r="B349" t="str">
            <v>Darnell Washington</v>
          </cell>
          <cell r="C349" t="str">
            <v>PIT</v>
          </cell>
          <cell r="D349">
            <v>42.7</v>
          </cell>
        </row>
        <row r="350">
          <cell r="B350" t="str">
            <v>Drew Sample</v>
          </cell>
          <cell r="C350" t="str">
            <v>CIN</v>
          </cell>
          <cell r="D350">
            <v>42.1</v>
          </cell>
        </row>
        <row r="351">
          <cell r="B351" t="str">
            <v>Isaac TeSlaa</v>
          </cell>
          <cell r="C351" t="str">
            <v>DET</v>
          </cell>
          <cell r="D351">
            <v>41.5</v>
          </cell>
        </row>
        <row r="352">
          <cell r="B352" t="str">
            <v>Luke Musgrave</v>
          </cell>
          <cell r="C352" t="str">
            <v>GB</v>
          </cell>
          <cell r="D352">
            <v>40.5</v>
          </cell>
        </row>
        <row r="353">
          <cell r="B353" t="str">
            <v>Jaylin Noel</v>
          </cell>
          <cell r="C353" t="str">
            <v>HST</v>
          </cell>
          <cell r="D353">
            <v>40</v>
          </cell>
        </row>
        <row r="354">
          <cell r="B354" t="str">
            <v>Ben Skowronek</v>
          </cell>
          <cell r="C354" t="str">
            <v>PIT</v>
          </cell>
          <cell r="D354">
            <v>39.799999999999997</v>
          </cell>
        </row>
        <row r="355">
          <cell r="B355" t="str">
            <v>Tory Horton</v>
          </cell>
          <cell r="C355" t="str">
            <v>SEA</v>
          </cell>
          <cell r="D355">
            <v>39.6</v>
          </cell>
        </row>
        <row r="356">
          <cell r="B356" t="str">
            <v>Jake Bobo</v>
          </cell>
          <cell r="C356" t="str">
            <v>SEA</v>
          </cell>
          <cell r="D356">
            <v>39</v>
          </cell>
        </row>
        <row r="357">
          <cell r="B357" t="str">
            <v>Mason Rudolph</v>
          </cell>
          <cell r="C357" t="str">
            <v>PIT</v>
          </cell>
          <cell r="D357">
            <v>38.5</v>
          </cell>
        </row>
        <row r="358">
          <cell r="B358" t="str">
            <v>Dont'e Thornton Jr</v>
          </cell>
          <cell r="C358" t="str">
            <v>LV</v>
          </cell>
          <cell r="D358">
            <v>38.299999999999997</v>
          </cell>
        </row>
        <row r="359">
          <cell r="B359" t="str">
            <v>Jalin Hyatt</v>
          </cell>
          <cell r="C359" t="str">
            <v>NYG</v>
          </cell>
          <cell r="D359">
            <v>37.9</v>
          </cell>
        </row>
        <row r="360">
          <cell r="B360" t="str">
            <v>Kyle Juszczyk</v>
          </cell>
          <cell r="C360" t="str">
            <v>SF</v>
          </cell>
          <cell r="D360">
            <v>37.799999999999997</v>
          </cell>
        </row>
        <row r="361">
          <cell r="B361" t="str">
            <v>Jarquez Hunter</v>
          </cell>
          <cell r="C361" t="str">
            <v>LA</v>
          </cell>
          <cell r="D361">
            <v>37.799999999999997</v>
          </cell>
        </row>
        <row r="362">
          <cell r="B362" t="str">
            <v>John Metchie III</v>
          </cell>
          <cell r="C362" t="str">
            <v>HST</v>
          </cell>
          <cell r="D362">
            <v>37.700000000000003</v>
          </cell>
        </row>
        <row r="363">
          <cell r="B363" t="str">
            <v>Jimmy Garoppolo</v>
          </cell>
          <cell r="C363" t="str">
            <v>LA</v>
          </cell>
          <cell r="D363">
            <v>36.1</v>
          </cell>
        </row>
        <row r="364">
          <cell r="B364" t="str">
            <v>Joe Milton III</v>
          </cell>
          <cell r="C364" t="str">
            <v>DAL</v>
          </cell>
          <cell r="D364">
            <v>35.299999999999997</v>
          </cell>
        </row>
        <row r="365">
          <cell r="B365" t="str">
            <v>Treylon Burks</v>
          </cell>
          <cell r="C365" t="str">
            <v>TEN</v>
          </cell>
          <cell r="D365">
            <v>35.1</v>
          </cell>
        </row>
        <row r="366">
          <cell r="B366" t="str">
            <v>Joe Flacco</v>
          </cell>
          <cell r="C366" t="str">
            <v>CLV</v>
          </cell>
          <cell r="D366">
            <v>34.700000000000003</v>
          </cell>
        </row>
        <row r="367">
          <cell r="B367" t="str">
            <v>Gardner Minshew</v>
          </cell>
          <cell r="C367" t="str">
            <v>KC</v>
          </cell>
          <cell r="D367">
            <v>34.299999999999997</v>
          </cell>
        </row>
        <row r="368">
          <cell r="B368" t="str">
            <v>Savion Williams</v>
          </cell>
          <cell r="C368" t="str">
            <v>GB</v>
          </cell>
          <cell r="D368">
            <v>34</v>
          </cell>
        </row>
        <row r="369">
          <cell r="B369" t="str">
            <v>Adam Trautman</v>
          </cell>
          <cell r="C369" t="str">
            <v>DEN</v>
          </cell>
          <cell r="D369">
            <v>33.200000000000003</v>
          </cell>
        </row>
        <row r="370">
          <cell r="B370" t="str">
            <v>Will Shipley</v>
          </cell>
          <cell r="C370" t="str">
            <v>PHI</v>
          </cell>
          <cell r="D370">
            <v>33.1</v>
          </cell>
        </row>
        <row r="371">
          <cell r="B371" t="str">
            <v>Zay Jones</v>
          </cell>
          <cell r="C371" t="str">
            <v>ARZ</v>
          </cell>
          <cell r="D371">
            <v>32.9</v>
          </cell>
        </row>
        <row r="372">
          <cell r="B372" t="str">
            <v>Gunnar Helm</v>
          </cell>
          <cell r="C372" t="str">
            <v>TEN</v>
          </cell>
          <cell r="D372">
            <v>32.799999999999997</v>
          </cell>
        </row>
        <row r="373">
          <cell r="B373" t="str">
            <v>Sterling Shepard</v>
          </cell>
          <cell r="C373" t="str">
            <v>TB</v>
          </cell>
          <cell r="D373">
            <v>32.299999999999997</v>
          </cell>
        </row>
        <row r="374">
          <cell r="B374" t="str">
            <v>Colby Parkinson</v>
          </cell>
          <cell r="C374" t="str">
            <v>LA</v>
          </cell>
          <cell r="D374">
            <v>32.299999999999997</v>
          </cell>
        </row>
        <row r="375">
          <cell r="B375" t="str">
            <v>Jalen Milroe</v>
          </cell>
          <cell r="C375" t="str">
            <v>SEA</v>
          </cell>
          <cell r="D375">
            <v>32.200000000000003</v>
          </cell>
        </row>
        <row r="376">
          <cell r="B376" t="str">
            <v>Jake Browning</v>
          </cell>
          <cell r="C376" t="str">
            <v>CIN</v>
          </cell>
          <cell r="D376">
            <v>32</v>
          </cell>
        </row>
        <row r="377">
          <cell r="B377" t="str">
            <v>Elic Ayomanor</v>
          </cell>
          <cell r="C377" t="str">
            <v>TEN</v>
          </cell>
          <cell r="D377">
            <v>31.7</v>
          </cell>
        </row>
        <row r="378">
          <cell r="B378" t="str">
            <v>AJ Barner</v>
          </cell>
          <cell r="C378" t="str">
            <v>SEA</v>
          </cell>
          <cell r="D378">
            <v>31.6</v>
          </cell>
        </row>
        <row r="379">
          <cell r="B379" t="str">
            <v>Jameis Winston</v>
          </cell>
          <cell r="C379" t="str">
            <v>NYG</v>
          </cell>
          <cell r="D379">
            <v>31</v>
          </cell>
        </row>
        <row r="380">
          <cell r="B380" t="str">
            <v>Julian Hill</v>
          </cell>
          <cell r="C380" t="str">
            <v>MIA</v>
          </cell>
          <cell r="D380">
            <v>30.8</v>
          </cell>
        </row>
        <row r="381">
          <cell r="B381" t="str">
            <v>Aidan O'Connell</v>
          </cell>
          <cell r="C381" t="str">
            <v>LV</v>
          </cell>
          <cell r="D381">
            <v>30.5</v>
          </cell>
        </row>
        <row r="382">
          <cell r="B382" t="str">
            <v>Mac Jones</v>
          </cell>
          <cell r="C382" t="str">
            <v>SF</v>
          </cell>
          <cell r="D382">
            <v>30.2</v>
          </cell>
        </row>
        <row r="383">
          <cell r="B383" t="str">
            <v>Marcus Mariota</v>
          </cell>
          <cell r="C383" t="str">
            <v>WAS</v>
          </cell>
          <cell r="D383">
            <v>29.7</v>
          </cell>
        </row>
        <row r="384">
          <cell r="B384" t="str">
            <v>Zach Wilson</v>
          </cell>
          <cell r="C384" t="str">
            <v>MIA</v>
          </cell>
          <cell r="D384">
            <v>29.7</v>
          </cell>
        </row>
        <row r="385">
          <cell r="B385" t="str">
            <v>Daniel Bellinger</v>
          </cell>
          <cell r="C385" t="str">
            <v>NYG</v>
          </cell>
          <cell r="D385">
            <v>29.4</v>
          </cell>
        </row>
        <row r="386">
          <cell r="B386" t="str">
            <v>Julius Chestnut</v>
          </cell>
          <cell r="C386" t="str">
            <v>TEN</v>
          </cell>
          <cell r="D386">
            <v>28.6</v>
          </cell>
        </row>
        <row r="387">
          <cell r="B387" t="str">
            <v>Kenneth Gainwell</v>
          </cell>
          <cell r="C387" t="str">
            <v>PIT</v>
          </cell>
          <cell r="D387">
            <v>28.4</v>
          </cell>
        </row>
        <row r="388">
          <cell r="B388" t="str">
            <v>Mitch Trubisky</v>
          </cell>
          <cell r="C388" t="str">
            <v>BUF</v>
          </cell>
          <cell r="D388">
            <v>28.3</v>
          </cell>
        </row>
        <row r="389">
          <cell r="B389" t="str">
            <v>Luke McCaffrey</v>
          </cell>
          <cell r="C389" t="str">
            <v>WAS</v>
          </cell>
          <cell r="D389">
            <v>28.2</v>
          </cell>
        </row>
        <row r="390">
          <cell r="B390" t="str">
            <v>Ja'Lynn Polk</v>
          </cell>
          <cell r="C390" t="str">
            <v>NE</v>
          </cell>
          <cell r="D390">
            <v>28.1</v>
          </cell>
        </row>
        <row r="391">
          <cell r="B391" t="str">
            <v>Hendon Hooker</v>
          </cell>
          <cell r="C391" t="str">
            <v>DET</v>
          </cell>
          <cell r="D391">
            <v>28</v>
          </cell>
        </row>
        <row r="392">
          <cell r="B392" t="str">
            <v>Simi Fehoko</v>
          </cell>
          <cell r="C392" t="str">
            <v>ARZ</v>
          </cell>
          <cell r="D392">
            <v>27.9</v>
          </cell>
        </row>
        <row r="393">
          <cell r="B393" t="str">
            <v>Stone Smartt</v>
          </cell>
          <cell r="C393" t="str">
            <v>NYJ</v>
          </cell>
          <cell r="D393">
            <v>27.9</v>
          </cell>
        </row>
        <row r="394">
          <cell r="B394" t="str">
            <v>Cooper Rush</v>
          </cell>
          <cell r="C394" t="str">
            <v>BLT</v>
          </cell>
          <cell r="D394">
            <v>27.8</v>
          </cell>
        </row>
        <row r="395">
          <cell r="B395" t="str">
            <v>Jonathan Mingo</v>
          </cell>
          <cell r="C395" t="str">
            <v>DAL</v>
          </cell>
          <cell r="D395">
            <v>27.8</v>
          </cell>
        </row>
        <row r="396">
          <cell r="B396" t="str">
            <v>Sam Howell</v>
          </cell>
          <cell r="C396" t="str">
            <v>MIN</v>
          </cell>
          <cell r="D396">
            <v>27.6</v>
          </cell>
        </row>
        <row r="397">
          <cell r="B397" t="str">
            <v>Charlie Woerner</v>
          </cell>
          <cell r="C397" t="str">
            <v>ATL</v>
          </cell>
          <cell r="D397">
            <v>27.6</v>
          </cell>
        </row>
        <row r="398">
          <cell r="B398" t="str">
            <v>Jordan James</v>
          </cell>
          <cell r="C398" t="str">
            <v>SF</v>
          </cell>
          <cell r="D398">
            <v>27.5</v>
          </cell>
        </row>
        <row r="399">
          <cell r="B399" t="str">
            <v>Jacoby Brissett</v>
          </cell>
          <cell r="C399" t="str">
            <v>ARZ</v>
          </cell>
          <cell r="D399">
            <v>27.2</v>
          </cell>
        </row>
        <row r="400">
          <cell r="B400" t="str">
            <v>Johnny Wilson</v>
          </cell>
          <cell r="C400" t="str">
            <v>PHI</v>
          </cell>
          <cell r="D400">
            <v>27</v>
          </cell>
        </row>
        <row r="401">
          <cell r="B401" t="str">
            <v>Jamari Thrash</v>
          </cell>
          <cell r="C401" t="str">
            <v>CLV</v>
          </cell>
          <cell r="D401">
            <v>27</v>
          </cell>
        </row>
        <row r="402">
          <cell r="B402" t="str">
            <v>Tanner McKee</v>
          </cell>
          <cell r="C402" t="str">
            <v>PHI</v>
          </cell>
          <cell r="D402">
            <v>26.9</v>
          </cell>
        </row>
        <row r="403">
          <cell r="B403" t="str">
            <v>Jeremy McNichols</v>
          </cell>
          <cell r="C403" t="str">
            <v>WAS</v>
          </cell>
          <cell r="D403">
            <v>26.6</v>
          </cell>
        </row>
        <row r="404">
          <cell r="B404" t="str">
            <v>Alec Ingold</v>
          </cell>
          <cell r="C404" t="str">
            <v>MIA</v>
          </cell>
          <cell r="D404">
            <v>26.6</v>
          </cell>
        </row>
        <row r="405">
          <cell r="B405" t="str">
            <v>Oronde Gadsden II</v>
          </cell>
          <cell r="C405" t="str">
            <v>LAC</v>
          </cell>
          <cell r="D405">
            <v>26.6</v>
          </cell>
        </row>
        <row r="406">
          <cell r="B406" t="str">
            <v>Davis Mills</v>
          </cell>
          <cell r="C406" t="str">
            <v>HST</v>
          </cell>
          <cell r="D406">
            <v>26</v>
          </cell>
        </row>
        <row r="407">
          <cell r="B407" t="str">
            <v>Sincere McCormick</v>
          </cell>
          <cell r="C407" t="str">
            <v>LV</v>
          </cell>
          <cell r="D407">
            <v>25.9</v>
          </cell>
        </row>
        <row r="408">
          <cell r="B408" t="str">
            <v>Kirk Cousins</v>
          </cell>
          <cell r="C408" t="str">
            <v>ATL</v>
          </cell>
          <cell r="D408">
            <v>25.7</v>
          </cell>
        </row>
        <row r="409">
          <cell r="B409" t="str">
            <v>Spencer Rattler</v>
          </cell>
          <cell r="C409" t="str">
            <v>NO</v>
          </cell>
          <cell r="D409">
            <v>25.7</v>
          </cell>
        </row>
        <row r="410">
          <cell r="B410" t="str">
            <v>Nick Mullens</v>
          </cell>
          <cell r="C410" t="str">
            <v>JAX</v>
          </cell>
          <cell r="D410">
            <v>25.5</v>
          </cell>
        </row>
        <row r="411">
          <cell r="B411" t="str">
            <v>Cordarrelle Patterson</v>
          </cell>
          <cell r="C411" t="str">
            <v>PIT</v>
          </cell>
          <cell r="D411">
            <v>25.5</v>
          </cell>
        </row>
        <row r="412">
          <cell r="B412" t="str">
            <v>Audric Estime</v>
          </cell>
          <cell r="C412" t="str">
            <v>DEN</v>
          </cell>
          <cell r="D412">
            <v>25.5</v>
          </cell>
        </row>
        <row r="413">
          <cell r="B413" t="str">
            <v>Antonio Gibson</v>
          </cell>
          <cell r="C413" t="str">
            <v>NE</v>
          </cell>
          <cell r="D413">
            <v>25.1</v>
          </cell>
        </row>
        <row r="414">
          <cell r="B414" t="str">
            <v>Brock Wright</v>
          </cell>
          <cell r="C414" t="str">
            <v>DET</v>
          </cell>
          <cell r="D414">
            <v>25</v>
          </cell>
        </row>
        <row r="415">
          <cell r="B415" t="str">
            <v>KeAndre Lambert-Smith</v>
          </cell>
          <cell r="C415" t="str">
            <v>LAC</v>
          </cell>
          <cell r="D415">
            <v>24.9</v>
          </cell>
        </row>
        <row r="416">
          <cell r="B416" t="str">
            <v>Will Levis</v>
          </cell>
          <cell r="C416" t="str">
            <v>TEN</v>
          </cell>
          <cell r="D416">
            <v>24.7</v>
          </cell>
        </row>
        <row r="417">
          <cell r="B417" t="str">
            <v>Charlie Kolar</v>
          </cell>
          <cell r="C417" t="str">
            <v>BLT</v>
          </cell>
          <cell r="D417">
            <v>24.4</v>
          </cell>
        </row>
        <row r="418">
          <cell r="B418" t="str">
            <v>Tyler Johnson</v>
          </cell>
          <cell r="C418" t="str">
            <v>NYJ</v>
          </cell>
          <cell r="D418">
            <v>24.2</v>
          </cell>
        </row>
        <row r="419">
          <cell r="B419" t="str">
            <v>Kylen Granson</v>
          </cell>
          <cell r="C419" t="str">
            <v>PHI</v>
          </cell>
          <cell r="D419">
            <v>24.1</v>
          </cell>
        </row>
        <row r="420">
          <cell r="B420" t="str">
            <v>Tyrod Taylor</v>
          </cell>
          <cell r="C420" t="str">
            <v>NYJ</v>
          </cell>
          <cell r="D420">
            <v>23.8</v>
          </cell>
        </row>
        <row r="421">
          <cell r="B421" t="str">
            <v>Malik Willis</v>
          </cell>
          <cell r="C421" t="str">
            <v>GB</v>
          </cell>
          <cell r="D421">
            <v>23.6</v>
          </cell>
        </row>
        <row r="422">
          <cell r="B422" t="str">
            <v>Andy Dalton</v>
          </cell>
          <cell r="C422" t="str">
            <v>CAR</v>
          </cell>
          <cell r="D422">
            <v>23</v>
          </cell>
        </row>
        <row r="423">
          <cell r="B423" t="str">
            <v>Pharaoh Brown</v>
          </cell>
          <cell r="C423" t="str">
            <v>MIA</v>
          </cell>
          <cell r="D423">
            <v>22.4</v>
          </cell>
        </row>
        <row r="424">
          <cell r="B424" t="str">
            <v>Bub Means</v>
          </cell>
          <cell r="C424" t="str">
            <v>NO</v>
          </cell>
          <cell r="D424">
            <v>22.2</v>
          </cell>
        </row>
        <row r="425">
          <cell r="B425" t="str">
            <v>Taylor Heinicke</v>
          </cell>
          <cell r="C425" t="str">
            <v>LAC</v>
          </cell>
          <cell r="D425">
            <v>22.1</v>
          </cell>
        </row>
        <row r="426">
          <cell r="B426" t="str">
            <v>John Bates</v>
          </cell>
          <cell r="C426" t="str">
            <v>WAS</v>
          </cell>
          <cell r="D426">
            <v>22.1</v>
          </cell>
        </row>
        <row r="427">
          <cell r="B427" t="str">
            <v>Jarrett Stidham</v>
          </cell>
          <cell r="C427" t="str">
            <v>DEN</v>
          </cell>
          <cell r="D427">
            <v>21.9</v>
          </cell>
        </row>
        <row r="428">
          <cell r="B428" t="str">
            <v>Joshua Dobbs</v>
          </cell>
          <cell r="C428" t="str">
            <v>NE</v>
          </cell>
          <cell r="D428">
            <v>21.5</v>
          </cell>
        </row>
        <row r="429">
          <cell r="B429" t="str">
            <v>Payne Durham</v>
          </cell>
          <cell r="C429" t="str">
            <v>TB</v>
          </cell>
          <cell r="D429">
            <v>21.5</v>
          </cell>
        </row>
        <row r="430">
          <cell r="B430" t="str">
            <v>Kyle Trask</v>
          </cell>
          <cell r="C430" t="str">
            <v>TB</v>
          </cell>
          <cell r="D430">
            <v>21.4</v>
          </cell>
        </row>
        <row r="431">
          <cell r="B431" t="str">
            <v>Sean Tucker</v>
          </cell>
          <cell r="C431" t="str">
            <v>TB</v>
          </cell>
          <cell r="D431">
            <v>21.3</v>
          </cell>
        </row>
        <row r="432">
          <cell r="B432" t="str">
            <v>Jeremy Ruckert</v>
          </cell>
          <cell r="C432" t="str">
            <v>NYJ</v>
          </cell>
          <cell r="D432">
            <v>21.2</v>
          </cell>
        </row>
        <row r="433">
          <cell r="B433" t="str">
            <v>Case Keenum</v>
          </cell>
          <cell r="C433" t="str">
            <v>CHI</v>
          </cell>
          <cell r="D433">
            <v>20.9</v>
          </cell>
        </row>
        <row r="434">
          <cell r="B434" t="str">
            <v>Parris Campbell</v>
          </cell>
          <cell r="C434" t="str">
            <v>DAL</v>
          </cell>
          <cell r="D434">
            <v>20.8</v>
          </cell>
        </row>
        <row r="435">
          <cell r="B435" t="str">
            <v>Mo Alie-Cox</v>
          </cell>
          <cell r="C435" t="str">
            <v>IND</v>
          </cell>
          <cell r="D435">
            <v>20.5</v>
          </cell>
        </row>
        <row r="436">
          <cell r="B436" t="str">
            <v>Brevyn Spann-Ford</v>
          </cell>
          <cell r="C436" t="str">
            <v>DAL</v>
          </cell>
          <cell r="D436">
            <v>20.5</v>
          </cell>
        </row>
        <row r="437">
          <cell r="B437" t="str">
            <v>Olamide Zaccheaus</v>
          </cell>
          <cell r="C437" t="str">
            <v>CHI</v>
          </cell>
          <cell r="D437">
            <v>20.100000000000001</v>
          </cell>
        </row>
        <row r="438">
          <cell r="B438" t="str">
            <v>Tylan Wallace</v>
          </cell>
          <cell r="C438" t="str">
            <v>BLT</v>
          </cell>
          <cell r="D438">
            <v>20.100000000000001</v>
          </cell>
        </row>
        <row r="439">
          <cell r="B439" t="str">
            <v>Jared Wiley</v>
          </cell>
          <cell r="C439" t="str">
            <v>KC</v>
          </cell>
          <cell r="D439">
            <v>19.5</v>
          </cell>
        </row>
        <row r="440">
          <cell r="B440" t="str">
            <v>Harrison Bryant</v>
          </cell>
          <cell r="C440" t="str">
            <v>PHI</v>
          </cell>
          <cell r="D440">
            <v>19.3</v>
          </cell>
        </row>
        <row r="441">
          <cell r="B441" t="str">
            <v>Austin Trammell</v>
          </cell>
          <cell r="C441" t="str">
            <v>JAX</v>
          </cell>
          <cell r="D441">
            <v>19.100000000000001</v>
          </cell>
        </row>
        <row r="442">
          <cell r="B442" t="str">
            <v>Ihmir Smith-Marsette</v>
          </cell>
          <cell r="C442" t="str">
            <v>NYG</v>
          </cell>
          <cell r="D442">
            <v>19.100000000000001</v>
          </cell>
        </row>
        <row r="443">
          <cell r="B443" t="str">
            <v>Connor Heyward</v>
          </cell>
          <cell r="C443" t="str">
            <v>PIT</v>
          </cell>
          <cell r="D443">
            <v>19.100000000000001</v>
          </cell>
        </row>
        <row r="444">
          <cell r="B444" t="str">
            <v>Carlos Washington Jr</v>
          </cell>
          <cell r="C444" t="str">
            <v>ATL</v>
          </cell>
          <cell r="D444">
            <v>19</v>
          </cell>
        </row>
        <row r="445">
          <cell r="B445" t="str">
            <v>Zach Pascal</v>
          </cell>
          <cell r="C445" t="str">
            <v>NYG</v>
          </cell>
          <cell r="D445">
            <v>19</v>
          </cell>
        </row>
        <row r="446">
          <cell r="B446" t="str">
            <v>Craig Reynolds</v>
          </cell>
          <cell r="C446" t="str">
            <v>DET</v>
          </cell>
          <cell r="D446">
            <v>18.8</v>
          </cell>
        </row>
        <row r="447">
          <cell r="B447" t="str">
            <v>Kimani Vidal</v>
          </cell>
          <cell r="C447" t="str">
            <v>LAC</v>
          </cell>
          <cell r="D447">
            <v>18.7</v>
          </cell>
        </row>
        <row r="448">
          <cell r="B448" t="str">
            <v>Luke Farrell</v>
          </cell>
          <cell r="C448" t="str">
            <v>SF</v>
          </cell>
          <cell r="D448">
            <v>18.399999999999999</v>
          </cell>
        </row>
        <row r="449">
          <cell r="B449" t="str">
            <v>DeAndre Carter</v>
          </cell>
          <cell r="C449" t="str">
            <v>CLV</v>
          </cell>
          <cell r="D449">
            <v>18.3</v>
          </cell>
        </row>
        <row r="450">
          <cell r="B450" t="str">
            <v>Derius Davis</v>
          </cell>
          <cell r="C450" t="str">
            <v>LAC</v>
          </cell>
          <cell r="D450">
            <v>18.2</v>
          </cell>
        </row>
        <row r="451">
          <cell r="B451" t="str">
            <v>Kyle Monangai</v>
          </cell>
          <cell r="C451" t="str">
            <v>CHI</v>
          </cell>
          <cell r="D451">
            <v>17.5</v>
          </cell>
        </row>
        <row r="452">
          <cell r="B452" t="str">
            <v>Kayshon Boutte</v>
          </cell>
          <cell r="C452" t="str">
            <v>NE</v>
          </cell>
          <cell r="D452">
            <v>17.5</v>
          </cell>
        </row>
        <row r="453">
          <cell r="B453" t="str">
            <v>David Moore</v>
          </cell>
          <cell r="C453" t="str">
            <v>CAR</v>
          </cell>
          <cell r="D453">
            <v>17</v>
          </cell>
        </row>
        <row r="454">
          <cell r="B454" t="str">
            <v>Johnny Mundt</v>
          </cell>
          <cell r="C454" t="str">
            <v>JAX</v>
          </cell>
          <cell r="D454">
            <v>16.8</v>
          </cell>
        </row>
        <row r="455">
          <cell r="B455" t="str">
            <v>Charlie Jones</v>
          </cell>
          <cell r="C455" t="str">
            <v>CIN</v>
          </cell>
          <cell r="D455">
            <v>16.2</v>
          </cell>
        </row>
        <row r="456">
          <cell r="B456" t="str">
            <v>Nate Adkins</v>
          </cell>
          <cell r="C456" t="str">
            <v>DEN</v>
          </cell>
          <cell r="D456">
            <v>16.2</v>
          </cell>
        </row>
        <row r="457">
          <cell r="B457" t="str">
            <v>Jacob Cowing</v>
          </cell>
          <cell r="C457" t="str">
            <v>SF</v>
          </cell>
          <cell r="D457">
            <v>16</v>
          </cell>
        </row>
        <row r="458">
          <cell r="B458" t="str">
            <v>Jackson Hawes</v>
          </cell>
          <cell r="C458" t="str">
            <v>BUF</v>
          </cell>
          <cell r="D458">
            <v>15.8</v>
          </cell>
        </row>
        <row r="459">
          <cell r="B459" t="str">
            <v>Ian Thomas</v>
          </cell>
          <cell r="C459" t="str">
            <v>LV</v>
          </cell>
          <cell r="D459">
            <v>15.7</v>
          </cell>
        </row>
        <row r="460">
          <cell r="B460" t="str">
            <v>Xavier Gipson</v>
          </cell>
          <cell r="C460" t="str">
            <v>NYJ</v>
          </cell>
          <cell r="D460">
            <v>15.6</v>
          </cell>
        </row>
        <row r="461">
          <cell r="B461" t="str">
            <v>Konata Mumpfield</v>
          </cell>
          <cell r="C461" t="str">
            <v>LA</v>
          </cell>
          <cell r="D461">
            <v>15.4</v>
          </cell>
        </row>
        <row r="462">
          <cell r="B462" t="str">
            <v>Ty Chandler</v>
          </cell>
          <cell r="C462" t="str">
            <v>MIN</v>
          </cell>
          <cell r="D462">
            <v>15.3</v>
          </cell>
        </row>
        <row r="463">
          <cell r="B463" t="str">
            <v>Devin Neal</v>
          </cell>
          <cell r="C463" t="str">
            <v>NO</v>
          </cell>
          <cell r="D463">
            <v>14.9</v>
          </cell>
        </row>
        <row r="464">
          <cell r="B464" t="str">
            <v>Xavier Smith</v>
          </cell>
          <cell r="C464" t="str">
            <v>LA</v>
          </cell>
          <cell r="D464">
            <v>14.9</v>
          </cell>
        </row>
        <row r="465">
          <cell r="B465" t="str">
            <v>Dillon Gabriel</v>
          </cell>
          <cell r="C465" t="str">
            <v>CLV</v>
          </cell>
          <cell r="D465">
            <v>14.5</v>
          </cell>
        </row>
        <row r="466">
          <cell r="B466" t="str">
            <v>Shedeur Sanders</v>
          </cell>
          <cell r="C466" t="str">
            <v>CLV</v>
          </cell>
          <cell r="D466">
            <v>14.5</v>
          </cell>
        </row>
        <row r="467">
          <cell r="B467" t="str">
            <v>Kenny McIntosh</v>
          </cell>
          <cell r="C467" t="str">
            <v>SEA</v>
          </cell>
          <cell r="D467">
            <v>14.5</v>
          </cell>
        </row>
        <row r="468">
          <cell r="B468" t="str">
            <v>Chris Rodriguez</v>
          </cell>
          <cell r="C468" t="str">
            <v>WAS</v>
          </cell>
          <cell r="D468">
            <v>13.5</v>
          </cell>
        </row>
        <row r="469">
          <cell r="B469" t="str">
            <v>Hunter Luepke</v>
          </cell>
          <cell r="C469" t="str">
            <v>DAL</v>
          </cell>
          <cell r="D469">
            <v>13.1</v>
          </cell>
        </row>
        <row r="470">
          <cell r="B470" t="str">
            <v>Rondale Moore</v>
          </cell>
          <cell r="C470" t="str">
            <v>MIN</v>
          </cell>
          <cell r="D470">
            <v>12.9</v>
          </cell>
        </row>
        <row r="471">
          <cell r="B471" t="str">
            <v>Durham Smythe</v>
          </cell>
          <cell r="C471" t="str">
            <v>CHI</v>
          </cell>
          <cell r="D471">
            <v>12.9</v>
          </cell>
        </row>
        <row r="472">
          <cell r="B472" t="str">
            <v>Khalil Herbert</v>
          </cell>
          <cell r="C472" t="str">
            <v>IND</v>
          </cell>
          <cell r="D472">
            <v>12.7</v>
          </cell>
        </row>
        <row r="473">
          <cell r="B473" t="str">
            <v>Chris Brooks</v>
          </cell>
          <cell r="C473" t="str">
            <v>GB</v>
          </cell>
          <cell r="D473">
            <v>12.7</v>
          </cell>
        </row>
        <row r="474">
          <cell r="B474" t="str">
            <v>Ashton Dulin</v>
          </cell>
          <cell r="C474" t="str">
            <v>IND</v>
          </cell>
          <cell r="D474">
            <v>12.6</v>
          </cell>
        </row>
        <row r="475">
          <cell r="B475" t="str">
            <v>Tip Reiman</v>
          </cell>
          <cell r="C475" t="str">
            <v>ARZ</v>
          </cell>
          <cell r="D475">
            <v>12.6</v>
          </cell>
        </row>
        <row r="476">
          <cell r="B476" t="str">
            <v>Ainias Smith</v>
          </cell>
          <cell r="C476" t="str">
            <v>PHI</v>
          </cell>
          <cell r="D476">
            <v>11.9</v>
          </cell>
        </row>
        <row r="477">
          <cell r="B477" t="str">
            <v>Andrew Ogletree</v>
          </cell>
          <cell r="C477" t="str">
            <v>IND</v>
          </cell>
          <cell r="D477">
            <v>11.3</v>
          </cell>
        </row>
        <row r="478">
          <cell r="B478" t="str">
            <v>Kalel Mullings</v>
          </cell>
          <cell r="C478" t="str">
            <v>TEN</v>
          </cell>
          <cell r="D478">
            <v>10.9</v>
          </cell>
        </row>
        <row r="479">
          <cell r="B479" t="str">
            <v>Shane Zylstra</v>
          </cell>
          <cell r="C479" t="str">
            <v>DET</v>
          </cell>
          <cell r="D479">
            <v>10.7</v>
          </cell>
        </row>
        <row r="480">
          <cell r="B480" t="str">
            <v>Hunter Long</v>
          </cell>
          <cell r="C480" t="str">
            <v>JAX</v>
          </cell>
          <cell r="D480">
            <v>10.5</v>
          </cell>
        </row>
        <row r="481">
          <cell r="B481" t="str">
            <v>Carson Steele</v>
          </cell>
          <cell r="C481" t="str">
            <v>KC</v>
          </cell>
          <cell r="D481">
            <v>10.3</v>
          </cell>
        </row>
        <row r="482">
          <cell r="B482" t="str">
            <v>Jalen Brooks</v>
          </cell>
          <cell r="C482" t="str">
            <v>DAL</v>
          </cell>
          <cell r="D482">
            <v>10.3</v>
          </cell>
        </row>
        <row r="483">
          <cell r="B483" t="str">
            <v>Tommy Mellott</v>
          </cell>
          <cell r="C483" t="str">
            <v>LV</v>
          </cell>
          <cell r="D483">
            <v>10.3</v>
          </cell>
        </row>
        <row r="484">
          <cell r="B484" t="str">
            <v>Davis Allen</v>
          </cell>
          <cell r="C484" t="str">
            <v>LA</v>
          </cell>
          <cell r="D484">
            <v>10.3</v>
          </cell>
        </row>
        <row r="485">
          <cell r="B485" t="str">
            <v>D'Wayne Eskridge</v>
          </cell>
          <cell r="C485" t="str">
            <v>MIA</v>
          </cell>
          <cell r="D485">
            <v>10.199999999999999</v>
          </cell>
        </row>
        <row r="486">
          <cell r="B486" t="str">
            <v>Cedrick Wilson Jr</v>
          </cell>
          <cell r="C486" t="str">
            <v>NO</v>
          </cell>
          <cell r="D486">
            <v>10.199999999999999</v>
          </cell>
        </row>
        <row r="487">
          <cell r="B487" t="str">
            <v>Jordan Watkins</v>
          </cell>
          <cell r="C487" t="str">
            <v>SF</v>
          </cell>
          <cell r="D487">
            <v>10.199999999999999</v>
          </cell>
        </row>
        <row r="488">
          <cell r="B488" t="str">
            <v>Brandon Johnson</v>
          </cell>
          <cell r="C488" t="str">
            <v>PIT</v>
          </cell>
          <cell r="D488">
            <v>10</v>
          </cell>
        </row>
        <row r="489">
          <cell r="B489" t="str">
            <v>Brevin Jordan</v>
          </cell>
          <cell r="C489" t="str">
            <v>HST</v>
          </cell>
          <cell r="D489">
            <v>9.9</v>
          </cell>
        </row>
        <row r="490">
          <cell r="B490" t="str">
            <v>Scott Miller</v>
          </cell>
          <cell r="C490" t="str">
            <v>PIT</v>
          </cell>
          <cell r="D490">
            <v>9.8000000000000007</v>
          </cell>
        </row>
        <row r="491">
          <cell r="B491" t="str">
            <v>Laviska Shenault Jr</v>
          </cell>
          <cell r="C491" t="str">
            <v>BUF</v>
          </cell>
          <cell r="D491">
            <v>9.8000000000000007</v>
          </cell>
        </row>
        <row r="492">
          <cell r="B492" t="str">
            <v>Lucas Krull</v>
          </cell>
          <cell r="C492" t="str">
            <v>DEN</v>
          </cell>
          <cell r="D492">
            <v>9.8000000000000007</v>
          </cell>
        </row>
        <row r="493">
          <cell r="B493" t="str">
            <v>Gavin Bartholomew</v>
          </cell>
          <cell r="C493" t="str">
            <v>MIN</v>
          </cell>
          <cell r="D493">
            <v>9.8000000000000007</v>
          </cell>
        </row>
        <row r="494">
          <cell r="B494" t="str">
            <v>Cody White</v>
          </cell>
          <cell r="C494" t="str">
            <v>SEA</v>
          </cell>
          <cell r="D494">
            <v>9.6999999999999993</v>
          </cell>
        </row>
        <row r="495">
          <cell r="B495" t="str">
            <v>Steven Sims</v>
          </cell>
          <cell r="C495" t="str">
            <v>SEA</v>
          </cell>
          <cell r="D495">
            <v>9.6</v>
          </cell>
        </row>
        <row r="496">
          <cell r="B496" t="str">
            <v>Michael Burton</v>
          </cell>
          <cell r="C496" t="str">
            <v>DEN</v>
          </cell>
          <cell r="D496">
            <v>9.5</v>
          </cell>
        </row>
        <row r="497">
          <cell r="B497" t="str">
            <v>CJ Ham</v>
          </cell>
          <cell r="C497" t="str">
            <v>MIN</v>
          </cell>
          <cell r="D497">
            <v>9.5</v>
          </cell>
        </row>
        <row r="498">
          <cell r="B498" t="str">
            <v>Trent Sherfield</v>
          </cell>
          <cell r="C498" t="str">
            <v>DEN</v>
          </cell>
          <cell r="D498">
            <v>9.4</v>
          </cell>
        </row>
        <row r="499">
          <cell r="B499" t="str">
            <v>LaJohntay Wester</v>
          </cell>
          <cell r="C499" t="str">
            <v>BLT</v>
          </cell>
          <cell r="D499">
            <v>9.4</v>
          </cell>
        </row>
        <row r="500">
          <cell r="B500" t="str">
            <v>Devontez Walker</v>
          </cell>
          <cell r="C500" t="str">
            <v>BLT</v>
          </cell>
          <cell r="D500">
            <v>9.3000000000000007</v>
          </cell>
        </row>
        <row r="501">
          <cell r="B501" t="str">
            <v>Dare Ogunbowale</v>
          </cell>
          <cell r="C501" t="str">
            <v>HST</v>
          </cell>
          <cell r="D501">
            <v>9.1999999999999993</v>
          </cell>
        </row>
        <row r="502">
          <cell r="B502" t="str">
            <v>Clyde Edwards-Helaire</v>
          </cell>
          <cell r="C502" t="str">
            <v>NO</v>
          </cell>
          <cell r="D502">
            <v>9.1999999999999993</v>
          </cell>
        </row>
        <row r="503">
          <cell r="B503" t="str">
            <v>KhaDarel Hodge</v>
          </cell>
          <cell r="C503" t="str">
            <v>ATL</v>
          </cell>
          <cell r="D503">
            <v>9.1999999999999993</v>
          </cell>
        </row>
        <row r="504">
          <cell r="B504" t="str">
            <v>Chris Manhertz</v>
          </cell>
          <cell r="C504" t="str">
            <v>NYG</v>
          </cell>
          <cell r="D504">
            <v>9</v>
          </cell>
        </row>
        <row r="505">
          <cell r="B505" t="str">
            <v>Jack Stoll</v>
          </cell>
          <cell r="C505" t="str">
            <v>NO</v>
          </cell>
          <cell r="D505">
            <v>8.8000000000000007</v>
          </cell>
        </row>
        <row r="506">
          <cell r="B506" t="str">
            <v>Devin Duvernay</v>
          </cell>
          <cell r="C506" t="str">
            <v>CHI</v>
          </cell>
          <cell r="D506">
            <v>8.6</v>
          </cell>
        </row>
        <row r="507">
          <cell r="B507" t="str">
            <v>Dante Pettis</v>
          </cell>
          <cell r="C507" t="str">
            <v>NO</v>
          </cell>
          <cell r="D507">
            <v>8.5</v>
          </cell>
        </row>
        <row r="508">
          <cell r="B508" t="str">
            <v>Kevin Austin Jr</v>
          </cell>
          <cell r="C508" t="str">
            <v>NO</v>
          </cell>
          <cell r="D508">
            <v>8.4</v>
          </cell>
        </row>
        <row r="509">
          <cell r="B509" t="str">
            <v>Ben Sims</v>
          </cell>
          <cell r="C509" t="str">
            <v>GB</v>
          </cell>
          <cell r="D509">
            <v>7.9</v>
          </cell>
        </row>
        <row r="510">
          <cell r="B510" t="str">
            <v>Brashard Smith</v>
          </cell>
          <cell r="C510" t="str">
            <v>KC</v>
          </cell>
          <cell r="D510">
            <v>7.2</v>
          </cell>
        </row>
        <row r="511">
          <cell r="B511" t="str">
            <v>DeeJay Dallas</v>
          </cell>
          <cell r="C511" t="str">
            <v>ARZ</v>
          </cell>
          <cell r="D511">
            <v>7.1</v>
          </cell>
        </row>
        <row r="512">
          <cell r="B512" t="str">
            <v>Damien Martinez</v>
          </cell>
          <cell r="C512" t="str">
            <v>SEA</v>
          </cell>
          <cell r="D512">
            <v>7.1</v>
          </cell>
        </row>
        <row r="513">
          <cell r="B513" t="str">
            <v>Robbie Ouzts</v>
          </cell>
          <cell r="C513" t="str">
            <v>SEA</v>
          </cell>
          <cell r="D513">
            <v>6.9</v>
          </cell>
        </row>
        <row r="514">
          <cell r="B514" t="str">
            <v>Tyler Goodson</v>
          </cell>
          <cell r="C514" t="str">
            <v>IND</v>
          </cell>
          <cell r="D514">
            <v>6.6</v>
          </cell>
        </row>
        <row r="515">
          <cell r="B515" t="str">
            <v>Raheem Blackshear</v>
          </cell>
          <cell r="C515" t="str">
            <v>CAR</v>
          </cell>
          <cell r="D515">
            <v>6.4</v>
          </cell>
        </row>
        <row r="516">
          <cell r="B516" t="str">
            <v>Chris Blair</v>
          </cell>
          <cell r="C516" t="str">
            <v>ATL</v>
          </cell>
          <cell r="D516">
            <v>6.3</v>
          </cell>
        </row>
        <row r="517">
          <cell r="B517" t="str">
            <v>Travis Homer</v>
          </cell>
          <cell r="C517" t="str">
            <v>CHI</v>
          </cell>
          <cell r="D517">
            <v>6</v>
          </cell>
        </row>
        <row r="518">
          <cell r="B518" t="str">
            <v>Sione Vaki</v>
          </cell>
          <cell r="C518" t="str">
            <v>DET</v>
          </cell>
          <cell r="D518">
            <v>6</v>
          </cell>
        </row>
        <row r="519">
          <cell r="B519" t="str">
            <v>Reggie Gilliam</v>
          </cell>
          <cell r="C519" t="str">
            <v>BUF</v>
          </cell>
          <cell r="D519">
            <v>5.9</v>
          </cell>
        </row>
        <row r="520">
          <cell r="B520" t="str">
            <v>Jakob Johnson</v>
          </cell>
          <cell r="C520" t="str">
            <v>HST</v>
          </cell>
          <cell r="D520">
            <v>5.7</v>
          </cell>
        </row>
        <row r="521">
          <cell r="B521" t="str">
            <v>Avery Williams</v>
          </cell>
          <cell r="C521" t="str">
            <v>PHI</v>
          </cell>
          <cell r="D521">
            <v>5.7</v>
          </cell>
        </row>
        <row r="522">
          <cell r="B522" t="str">
            <v>Patrick Ricard</v>
          </cell>
          <cell r="C522" t="str">
            <v>BLT</v>
          </cell>
          <cell r="D522">
            <v>5.7</v>
          </cell>
        </row>
        <row r="523">
          <cell r="B523" t="str">
            <v>John Stephens Jr</v>
          </cell>
          <cell r="C523" t="str">
            <v>DAL</v>
          </cell>
          <cell r="D523">
            <v>5.5</v>
          </cell>
        </row>
        <row r="524">
          <cell r="B524" t="str">
            <v>Nikko Remigio</v>
          </cell>
          <cell r="C524" t="str">
            <v>KC</v>
          </cell>
          <cell r="D524">
            <v>5.4</v>
          </cell>
        </row>
        <row r="525">
          <cell r="B525" t="str">
            <v>Skyy Moore</v>
          </cell>
          <cell r="C525" t="str">
            <v>KC</v>
          </cell>
          <cell r="D525">
            <v>5.4</v>
          </cell>
        </row>
        <row r="526">
          <cell r="B526" t="str">
            <v>Eric Gray</v>
          </cell>
          <cell r="C526" t="str">
            <v>NYG</v>
          </cell>
          <cell r="D526">
            <v>5.2</v>
          </cell>
        </row>
        <row r="527">
          <cell r="B527" t="str">
            <v>Ross Dwelley</v>
          </cell>
          <cell r="C527" t="str">
            <v>SF</v>
          </cell>
          <cell r="D527">
            <v>5.2</v>
          </cell>
        </row>
        <row r="528">
          <cell r="B528" t="str">
            <v>Erik Ezukanma</v>
          </cell>
          <cell r="C528" t="str">
            <v>MIA</v>
          </cell>
          <cell r="D528">
            <v>5.0999999999999996</v>
          </cell>
        </row>
        <row r="529">
          <cell r="B529" t="str">
            <v>Ko Kieft</v>
          </cell>
          <cell r="C529" t="str">
            <v>TB</v>
          </cell>
          <cell r="D529">
            <v>5.0999999999999996</v>
          </cell>
        </row>
        <row r="530">
          <cell r="B530" t="str">
            <v>Collin Johnson</v>
          </cell>
          <cell r="C530" t="str">
            <v>LV</v>
          </cell>
          <cell r="D530">
            <v>5</v>
          </cell>
        </row>
        <row r="531">
          <cell r="B531" t="str">
            <v>Will Mallory</v>
          </cell>
          <cell r="C531" t="str">
            <v>IND</v>
          </cell>
          <cell r="D531">
            <v>4.9000000000000004</v>
          </cell>
        </row>
        <row r="532">
          <cell r="B532" t="str">
            <v>Blake Whiteheart</v>
          </cell>
          <cell r="C532" t="str">
            <v>CLV</v>
          </cell>
          <cell r="D532">
            <v>4.7</v>
          </cell>
        </row>
        <row r="533">
          <cell r="B533" t="str">
            <v>Teagan Quitoriano</v>
          </cell>
          <cell r="C533" t="str">
            <v>ATL</v>
          </cell>
          <cell r="D533">
            <v>4.7</v>
          </cell>
        </row>
        <row r="534">
          <cell r="B534" t="str">
            <v>Terrace Marshall Jr</v>
          </cell>
          <cell r="C534" t="str">
            <v>PHI</v>
          </cell>
          <cell r="D534">
            <v>4.5</v>
          </cell>
        </row>
        <row r="535">
          <cell r="B535" t="str">
            <v>Jaheim Bell</v>
          </cell>
          <cell r="C535" t="str">
            <v>NE</v>
          </cell>
          <cell r="D535">
            <v>4.5</v>
          </cell>
        </row>
        <row r="536">
          <cell r="B536" t="str">
            <v>Mitchell Evans</v>
          </cell>
          <cell r="C536" t="str">
            <v>CAR</v>
          </cell>
          <cell r="D536">
            <v>4.5</v>
          </cell>
        </row>
        <row r="537">
          <cell r="B537" t="str">
            <v>Tai Felton</v>
          </cell>
          <cell r="C537" t="str">
            <v>MIN</v>
          </cell>
          <cell r="D537">
            <v>3.8</v>
          </cell>
        </row>
        <row r="538">
          <cell r="B538" t="str">
            <v>KJ Osborn</v>
          </cell>
          <cell r="C538" t="str">
            <v>WAS</v>
          </cell>
          <cell r="D538">
            <v>2.8</v>
          </cell>
        </row>
        <row r="539">
          <cell r="B539" t="str">
            <v>Anthony Miller</v>
          </cell>
          <cell r="C539" t="str">
            <v>BLT</v>
          </cell>
          <cell r="D539">
            <v>2.8</v>
          </cell>
        </row>
        <row r="540">
          <cell r="B540" t="str">
            <v>David Bell</v>
          </cell>
          <cell r="C540" t="str">
            <v>CLV</v>
          </cell>
          <cell r="D540">
            <v>2.7</v>
          </cell>
        </row>
        <row r="541">
          <cell r="B541" t="str">
            <v>Tahj Brooks</v>
          </cell>
          <cell r="C541" t="str">
            <v>CIN</v>
          </cell>
          <cell r="D541">
            <v>2.1</v>
          </cell>
        </row>
        <row r="542">
          <cell r="B542" t="str">
            <v>Patrick Taylor</v>
          </cell>
          <cell r="C542" t="str">
            <v>SF</v>
          </cell>
          <cell r="D542">
            <v>0</v>
          </cell>
        </row>
        <row r="543">
          <cell r="B543" t="str">
            <v>Kene Nwangwu</v>
          </cell>
          <cell r="C543" t="str">
            <v>NYJ</v>
          </cell>
          <cell r="D543">
            <v>0</v>
          </cell>
        </row>
        <row r="544">
          <cell r="B544" t="str">
            <v>Pierre Strong Jr</v>
          </cell>
          <cell r="C544" t="str">
            <v>CLV</v>
          </cell>
          <cell r="D544">
            <v>0</v>
          </cell>
        </row>
        <row r="545">
          <cell r="B545" t="str">
            <v>Dameon Pierce</v>
          </cell>
          <cell r="C545" t="str">
            <v>HST</v>
          </cell>
          <cell r="D545">
            <v>0</v>
          </cell>
        </row>
        <row r="546">
          <cell r="B546" t="str">
            <v>Tyler Badie</v>
          </cell>
          <cell r="C546" t="str">
            <v>DEN</v>
          </cell>
          <cell r="D546">
            <v>0</v>
          </cell>
        </row>
        <row r="547">
          <cell r="B547" t="str">
            <v>Rasheen Ali</v>
          </cell>
          <cell r="C547" t="str">
            <v>BLT</v>
          </cell>
          <cell r="D547">
            <v>0</v>
          </cell>
        </row>
        <row r="548">
          <cell r="B548" t="str">
            <v>Chris Collier</v>
          </cell>
          <cell r="C548" t="str">
            <v>LV</v>
          </cell>
          <cell r="D548">
            <v>0</v>
          </cell>
        </row>
        <row r="549">
          <cell r="B549" t="str">
            <v>Britain Covey</v>
          </cell>
          <cell r="C549" t="str">
            <v>LA</v>
          </cell>
          <cell r="D549">
            <v>0</v>
          </cell>
        </row>
        <row r="550">
          <cell r="B550" t="str">
            <v>Mecole Hardman Jr</v>
          </cell>
          <cell r="C550" t="str">
            <v>GB</v>
          </cell>
          <cell r="D550">
            <v>0</v>
          </cell>
        </row>
        <row r="551">
          <cell r="B551" t="str">
            <v>Braxton Berrios</v>
          </cell>
          <cell r="C551" t="str">
            <v>HST</v>
          </cell>
          <cell r="D551">
            <v>0</v>
          </cell>
        </row>
        <row r="552">
          <cell r="B552" t="str">
            <v>James Proche II</v>
          </cell>
          <cell r="C552" t="str">
            <v>TEN</v>
          </cell>
          <cell r="D552">
            <v>0</v>
          </cell>
        </row>
        <row r="553">
          <cell r="B553" t="str">
            <v>Bo Melton</v>
          </cell>
          <cell r="C553" t="str">
            <v>GB</v>
          </cell>
          <cell r="D553">
            <v>0</v>
          </cell>
        </row>
        <row r="554">
          <cell r="B554" t="str">
            <v>Tim Jones</v>
          </cell>
          <cell r="C554" t="str">
            <v>MIN</v>
          </cell>
          <cell r="D554">
            <v>0</v>
          </cell>
        </row>
        <row r="555">
          <cell r="B555" t="str">
            <v>Jalen Reagor</v>
          </cell>
          <cell r="C555" t="str">
            <v>LAC</v>
          </cell>
          <cell r="D555">
            <v>0</v>
          </cell>
        </row>
        <row r="556">
          <cell r="B556" t="str">
            <v>Dylan Drummond</v>
          </cell>
          <cell r="C556" t="str">
            <v>ATL</v>
          </cell>
          <cell r="D556">
            <v>0</v>
          </cell>
        </row>
        <row r="557">
          <cell r="B557" t="str">
            <v>Kazmeir Allen</v>
          </cell>
          <cell r="C557" t="str">
            <v>WAS</v>
          </cell>
          <cell r="D557">
            <v>0</v>
          </cell>
        </row>
        <row r="558">
          <cell r="B558" t="str">
            <v>Tom Kennedy</v>
          </cell>
          <cell r="C558" t="str">
            <v>DET</v>
          </cell>
          <cell r="D558">
            <v>0</v>
          </cell>
        </row>
        <row r="559">
          <cell r="B559" t="str">
            <v>Anthony Gould</v>
          </cell>
          <cell r="C559" t="str">
            <v>IND</v>
          </cell>
          <cell r="D559">
            <v>0</v>
          </cell>
        </row>
        <row r="560">
          <cell r="B560" t="str">
            <v>Trey Palmer</v>
          </cell>
          <cell r="C560" t="str">
            <v>TB</v>
          </cell>
          <cell r="D560">
            <v>0</v>
          </cell>
        </row>
        <row r="561">
          <cell r="B561" t="str">
            <v>Jha'Quan Jackson</v>
          </cell>
          <cell r="C561" t="str">
            <v>TEN</v>
          </cell>
          <cell r="D561">
            <v>0</v>
          </cell>
        </row>
        <row r="562">
          <cell r="B562" t="str">
            <v>Javon Baker</v>
          </cell>
          <cell r="C562" t="str">
            <v>NE</v>
          </cell>
          <cell r="D562">
            <v>0</v>
          </cell>
        </row>
        <row r="563">
          <cell r="B563" t="str">
            <v>Rakim Jarrett</v>
          </cell>
          <cell r="C563" t="str">
            <v>TB</v>
          </cell>
          <cell r="D56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umberFire_ppr_projections"/>
    </sheetNames>
    <sheetDataSet>
      <sheetData sheetId="0">
        <row r="1">
          <cell r="A1" t="str">
            <v>Player</v>
          </cell>
          <cell r="B1" t="str">
            <v>Points</v>
          </cell>
        </row>
        <row r="2">
          <cell r="A2" t="str">
            <v>Ja'Marr Chase</v>
          </cell>
          <cell r="B2">
            <v>390.8</v>
          </cell>
        </row>
        <row r="3">
          <cell r="A3" t="str">
            <v>Christian McCaffrey</v>
          </cell>
          <cell r="B3">
            <v>336.8</v>
          </cell>
        </row>
        <row r="4">
          <cell r="A4" t="str">
            <v>Jahmyr Gibbs</v>
          </cell>
          <cell r="B4">
            <v>334.6</v>
          </cell>
        </row>
        <row r="5">
          <cell r="A5" t="str">
            <v>Saquon Barkley</v>
          </cell>
          <cell r="B5">
            <v>327.2</v>
          </cell>
        </row>
        <row r="6">
          <cell r="A6" t="str">
            <v>Bijan Robinson</v>
          </cell>
          <cell r="B6">
            <v>321.10000000000002</v>
          </cell>
        </row>
        <row r="7">
          <cell r="A7" t="str">
            <v>Justin Jefferson</v>
          </cell>
          <cell r="B7">
            <v>344.7</v>
          </cell>
        </row>
        <row r="8">
          <cell r="A8" t="str">
            <v>De'Von Achane</v>
          </cell>
          <cell r="B8">
            <v>299.2</v>
          </cell>
        </row>
        <row r="9">
          <cell r="A9" t="str">
            <v>CeeDee Lamb</v>
          </cell>
          <cell r="B9">
            <v>322.7</v>
          </cell>
        </row>
        <row r="10">
          <cell r="A10" t="str">
            <v>Amon-Ra St Brown</v>
          </cell>
          <cell r="B10">
            <v>315.89999999999998</v>
          </cell>
        </row>
        <row r="11">
          <cell r="A11" t="str">
            <v>Puka Nacua</v>
          </cell>
          <cell r="B11">
            <v>298.2</v>
          </cell>
        </row>
        <row r="12">
          <cell r="A12" t="str">
            <v>Brian Thomas Jr</v>
          </cell>
          <cell r="B12">
            <v>286.7</v>
          </cell>
        </row>
        <row r="13">
          <cell r="A13" t="str">
            <v>Nico Collins</v>
          </cell>
          <cell r="B13">
            <v>285.8</v>
          </cell>
        </row>
        <row r="14">
          <cell r="A14" t="str">
            <v>Ladd McConkey</v>
          </cell>
          <cell r="B14">
            <v>284.3</v>
          </cell>
        </row>
        <row r="15">
          <cell r="A15" t="str">
            <v>Drake London</v>
          </cell>
          <cell r="B15">
            <v>282.10000000000002</v>
          </cell>
        </row>
        <row r="16">
          <cell r="A16" t="str">
            <v>Malik Nabers</v>
          </cell>
          <cell r="B16">
            <v>281.5</v>
          </cell>
        </row>
        <row r="17">
          <cell r="A17" t="str">
            <v>Tyreek Hill</v>
          </cell>
          <cell r="B17">
            <v>279.39999999999998</v>
          </cell>
        </row>
        <row r="18">
          <cell r="A18" t="str">
            <v>Jaxon Smith-Njigba</v>
          </cell>
          <cell r="B18">
            <v>279.3</v>
          </cell>
        </row>
        <row r="19">
          <cell r="A19" t="str">
            <v>Brock Bowers</v>
          </cell>
          <cell r="B19">
            <v>270.60000000000002</v>
          </cell>
        </row>
        <row r="20">
          <cell r="A20" t="str">
            <v>AJ Brown</v>
          </cell>
          <cell r="B20">
            <v>270.60000000000002</v>
          </cell>
        </row>
        <row r="21">
          <cell r="A21" t="str">
            <v>Josh Jacobs</v>
          </cell>
          <cell r="B21">
            <v>227.9</v>
          </cell>
        </row>
        <row r="22">
          <cell r="A22" t="str">
            <v>Marvin Harrison Jr</v>
          </cell>
          <cell r="B22">
            <v>264.8</v>
          </cell>
        </row>
        <row r="23">
          <cell r="A23" t="str">
            <v>Derrick Henry</v>
          </cell>
          <cell r="B23">
            <v>223.5</v>
          </cell>
        </row>
        <row r="24">
          <cell r="A24" t="str">
            <v>Tee Higgins</v>
          </cell>
          <cell r="B24">
            <v>263.60000000000002</v>
          </cell>
        </row>
        <row r="25">
          <cell r="A25" t="str">
            <v>Chase Brown</v>
          </cell>
          <cell r="B25">
            <v>222.5</v>
          </cell>
        </row>
        <row r="26">
          <cell r="A26" t="str">
            <v>Ashton Jeanty</v>
          </cell>
          <cell r="B26">
            <v>219.9</v>
          </cell>
        </row>
        <row r="27">
          <cell r="A27" t="str">
            <v>Breece Hall</v>
          </cell>
          <cell r="B27">
            <v>218.8</v>
          </cell>
        </row>
        <row r="28">
          <cell r="A28" t="str">
            <v>Terry McLaurin</v>
          </cell>
          <cell r="B28">
            <v>253.9</v>
          </cell>
        </row>
        <row r="29">
          <cell r="A29" t="str">
            <v>Bucky Irving</v>
          </cell>
          <cell r="B29">
            <v>212.2</v>
          </cell>
        </row>
        <row r="30">
          <cell r="A30" t="str">
            <v>Mike Evans</v>
          </cell>
          <cell r="B30">
            <v>252.5</v>
          </cell>
        </row>
        <row r="31">
          <cell r="A31" t="str">
            <v>Kenneth Walker III</v>
          </cell>
          <cell r="B31">
            <v>210.8</v>
          </cell>
        </row>
        <row r="32">
          <cell r="A32" t="str">
            <v>Jonathan Taylor</v>
          </cell>
          <cell r="B32">
            <v>210.6</v>
          </cell>
        </row>
        <row r="33">
          <cell r="A33" t="str">
            <v>Trey McBride</v>
          </cell>
          <cell r="B33">
            <v>242</v>
          </cell>
        </row>
        <row r="34">
          <cell r="A34" t="str">
            <v>Kyren Williams</v>
          </cell>
          <cell r="B34">
            <v>208.4</v>
          </cell>
        </row>
        <row r="35">
          <cell r="A35" t="str">
            <v>Omarion Hampton</v>
          </cell>
          <cell r="B35">
            <v>206.7</v>
          </cell>
        </row>
        <row r="36">
          <cell r="A36" t="str">
            <v>Alvin Kamara</v>
          </cell>
          <cell r="B36">
            <v>204.5</v>
          </cell>
        </row>
        <row r="37">
          <cell r="A37" t="str">
            <v>James Conner</v>
          </cell>
          <cell r="B37">
            <v>202.7</v>
          </cell>
        </row>
        <row r="38">
          <cell r="A38" t="str">
            <v>Garrett Wilson</v>
          </cell>
          <cell r="B38">
            <v>242.9</v>
          </cell>
        </row>
        <row r="39">
          <cell r="A39" t="str">
            <v>Isiah Pacheco</v>
          </cell>
          <cell r="B39">
            <v>198.2</v>
          </cell>
        </row>
        <row r="40">
          <cell r="A40" t="str">
            <v>Aaron Jones</v>
          </cell>
          <cell r="B40">
            <v>197.4</v>
          </cell>
        </row>
        <row r="41">
          <cell r="A41" t="str">
            <v>Lamar Jackson</v>
          </cell>
          <cell r="B41">
            <v>384.1</v>
          </cell>
        </row>
        <row r="42">
          <cell r="A42" t="str">
            <v>Josh Allen</v>
          </cell>
          <cell r="B42">
            <v>384.1</v>
          </cell>
        </row>
        <row r="43">
          <cell r="A43" t="str">
            <v>George Kittle</v>
          </cell>
          <cell r="B43">
            <v>225.5</v>
          </cell>
        </row>
        <row r="44">
          <cell r="A44" t="str">
            <v>Jauan Jennings</v>
          </cell>
          <cell r="B44">
            <v>231</v>
          </cell>
        </row>
        <row r="45">
          <cell r="A45" t="str">
            <v>DK Metcalf</v>
          </cell>
          <cell r="B45">
            <v>229.7</v>
          </cell>
        </row>
        <row r="46">
          <cell r="A46" t="str">
            <v>James Cook</v>
          </cell>
          <cell r="B46">
            <v>189.1</v>
          </cell>
        </row>
        <row r="47">
          <cell r="A47" t="str">
            <v>Zay Flowers</v>
          </cell>
          <cell r="B47">
            <v>228.3</v>
          </cell>
        </row>
        <row r="48">
          <cell r="A48" t="str">
            <v>Davante Adams</v>
          </cell>
          <cell r="B48">
            <v>226.8</v>
          </cell>
        </row>
        <row r="49">
          <cell r="A49" t="str">
            <v>Courtland Sutton</v>
          </cell>
          <cell r="B49">
            <v>222.6</v>
          </cell>
        </row>
        <row r="50">
          <cell r="A50" t="str">
            <v>Jaylen Warren</v>
          </cell>
          <cell r="B50">
            <v>181.3</v>
          </cell>
        </row>
        <row r="51">
          <cell r="A51" t="str">
            <v>Austin Ekeler</v>
          </cell>
          <cell r="B51">
            <v>180.4</v>
          </cell>
        </row>
        <row r="52">
          <cell r="A52" t="str">
            <v>D'Andre Swift</v>
          </cell>
          <cell r="B52">
            <v>180</v>
          </cell>
        </row>
        <row r="53">
          <cell r="A53" t="str">
            <v>DeVonta Smith</v>
          </cell>
          <cell r="B53">
            <v>218.9</v>
          </cell>
        </row>
        <row r="54">
          <cell r="A54" t="str">
            <v>Travis Etienne Jr</v>
          </cell>
          <cell r="B54">
            <v>177.9</v>
          </cell>
        </row>
        <row r="55">
          <cell r="A55" t="str">
            <v>David Montgomery</v>
          </cell>
          <cell r="B55">
            <v>175.3</v>
          </cell>
        </row>
        <row r="56">
          <cell r="A56" t="str">
            <v>Chris Godwin</v>
          </cell>
          <cell r="B56">
            <v>213.3</v>
          </cell>
        </row>
        <row r="57">
          <cell r="A57" t="str">
            <v>Tony Pollard</v>
          </cell>
          <cell r="B57">
            <v>171.9</v>
          </cell>
        </row>
        <row r="58">
          <cell r="A58" t="str">
            <v>Travis Kelce</v>
          </cell>
          <cell r="B58">
            <v>204.7</v>
          </cell>
        </row>
        <row r="59">
          <cell r="A59" t="str">
            <v>Jerry Jeudy</v>
          </cell>
          <cell r="B59">
            <v>210.3</v>
          </cell>
        </row>
        <row r="60">
          <cell r="A60" t="str">
            <v>DJ Moore</v>
          </cell>
          <cell r="B60">
            <v>210.1</v>
          </cell>
        </row>
        <row r="61">
          <cell r="A61" t="str">
            <v>Calvin Ridley</v>
          </cell>
          <cell r="B61">
            <v>209.4</v>
          </cell>
        </row>
        <row r="62">
          <cell r="A62" t="str">
            <v>Deebo Samuel</v>
          </cell>
          <cell r="B62">
            <v>209.3</v>
          </cell>
        </row>
        <row r="63">
          <cell r="A63" t="str">
            <v>Jakobi Meyers</v>
          </cell>
          <cell r="B63">
            <v>207.6</v>
          </cell>
        </row>
        <row r="64">
          <cell r="A64" t="str">
            <v>Stefon Diggs</v>
          </cell>
          <cell r="B64">
            <v>207.4</v>
          </cell>
        </row>
        <row r="65">
          <cell r="A65" t="str">
            <v>TJ Hockenson</v>
          </cell>
          <cell r="B65">
            <v>200.1</v>
          </cell>
        </row>
        <row r="66">
          <cell r="A66" t="str">
            <v>Chuba Hubbard</v>
          </cell>
          <cell r="B66">
            <v>165.6</v>
          </cell>
        </row>
        <row r="67">
          <cell r="A67" t="str">
            <v>Mark Andrews</v>
          </cell>
          <cell r="B67">
            <v>197.4</v>
          </cell>
        </row>
        <row r="68">
          <cell r="A68" t="str">
            <v>Javonte Williams</v>
          </cell>
          <cell r="B68">
            <v>164.1</v>
          </cell>
        </row>
        <row r="69">
          <cell r="A69" t="str">
            <v>Chris Olave</v>
          </cell>
          <cell r="B69">
            <v>203.7</v>
          </cell>
        </row>
        <row r="70">
          <cell r="A70" t="str">
            <v>Cooper Kupp</v>
          </cell>
          <cell r="B70">
            <v>202.7</v>
          </cell>
        </row>
        <row r="71">
          <cell r="A71" t="str">
            <v>TreVeyon Henderson</v>
          </cell>
          <cell r="B71">
            <v>159.69999999999999</v>
          </cell>
        </row>
        <row r="72">
          <cell r="A72" t="str">
            <v>Xavier Worthy</v>
          </cell>
          <cell r="B72">
            <v>200.1</v>
          </cell>
        </row>
        <row r="73">
          <cell r="A73" t="str">
            <v>Joe Mixon</v>
          </cell>
          <cell r="B73">
            <v>159.19999999999999</v>
          </cell>
        </row>
        <row r="74">
          <cell r="A74" t="str">
            <v>Marvin Mims Jr</v>
          </cell>
          <cell r="B74">
            <v>198.9</v>
          </cell>
        </row>
        <row r="75">
          <cell r="A75" t="str">
            <v>Jalen Hurts</v>
          </cell>
          <cell r="B75">
            <v>348.7</v>
          </cell>
        </row>
        <row r="76">
          <cell r="A76" t="str">
            <v>Tyrone Tracy</v>
          </cell>
          <cell r="B76">
            <v>155.4</v>
          </cell>
        </row>
        <row r="77">
          <cell r="A77" t="str">
            <v>JK Dobbins</v>
          </cell>
          <cell r="B77">
            <v>152</v>
          </cell>
        </row>
        <row r="78">
          <cell r="A78" t="str">
            <v>Rachaad White</v>
          </cell>
          <cell r="B78">
            <v>151.4</v>
          </cell>
        </row>
        <row r="79">
          <cell r="A79" t="str">
            <v>Rashid Shaheed</v>
          </cell>
          <cell r="B79">
            <v>191.8</v>
          </cell>
        </row>
        <row r="80">
          <cell r="A80" t="str">
            <v>Michael Pittman Jr</v>
          </cell>
          <cell r="B80">
            <v>191.8</v>
          </cell>
        </row>
        <row r="81">
          <cell r="A81" t="str">
            <v>Zach Charbonnet</v>
          </cell>
          <cell r="B81">
            <v>151.19999999999999</v>
          </cell>
        </row>
        <row r="82">
          <cell r="A82" t="str">
            <v>Jaylen Waddle</v>
          </cell>
          <cell r="B82">
            <v>190.4</v>
          </cell>
        </row>
        <row r="83">
          <cell r="A83" t="str">
            <v>Tyler Lockett</v>
          </cell>
          <cell r="B83">
            <v>190</v>
          </cell>
        </row>
        <row r="84">
          <cell r="A84" t="str">
            <v>David Njoku</v>
          </cell>
          <cell r="B84">
            <v>182.3</v>
          </cell>
        </row>
        <row r="85">
          <cell r="A85" t="str">
            <v>Jerome Ford</v>
          </cell>
          <cell r="B85">
            <v>148.6</v>
          </cell>
        </row>
        <row r="86">
          <cell r="A86" t="str">
            <v>George Pickens</v>
          </cell>
          <cell r="B86">
            <v>188.7</v>
          </cell>
        </row>
        <row r="87">
          <cell r="A87" t="str">
            <v>Jameson Williams</v>
          </cell>
          <cell r="B87">
            <v>188.6</v>
          </cell>
        </row>
        <row r="88">
          <cell r="A88" t="str">
            <v>Joe Burrow</v>
          </cell>
          <cell r="B88">
            <v>338.9</v>
          </cell>
        </row>
        <row r="89">
          <cell r="A89" t="str">
            <v>Patrick Mahomes</v>
          </cell>
          <cell r="B89">
            <v>336.1</v>
          </cell>
        </row>
        <row r="90">
          <cell r="A90" t="str">
            <v>Jayden Daniels</v>
          </cell>
          <cell r="B90">
            <v>335.9</v>
          </cell>
        </row>
        <row r="91">
          <cell r="A91" t="str">
            <v>Keon Coleman</v>
          </cell>
          <cell r="B91">
            <v>185.4</v>
          </cell>
        </row>
        <row r="92">
          <cell r="A92" t="str">
            <v>Jayden Reed</v>
          </cell>
          <cell r="B92">
            <v>184.6</v>
          </cell>
        </row>
        <row r="93">
          <cell r="A93" t="str">
            <v>Travis Hunter</v>
          </cell>
          <cell r="B93">
            <v>184.6</v>
          </cell>
        </row>
        <row r="94">
          <cell r="A94" t="str">
            <v>Matthew Golden</v>
          </cell>
          <cell r="B94">
            <v>184.1</v>
          </cell>
        </row>
        <row r="95">
          <cell r="A95" t="str">
            <v>Najee Harris</v>
          </cell>
          <cell r="B95">
            <v>142</v>
          </cell>
        </row>
        <row r="96">
          <cell r="A96" t="str">
            <v>Jordan Mason</v>
          </cell>
          <cell r="B96">
            <v>141.9</v>
          </cell>
        </row>
        <row r="97">
          <cell r="A97" t="str">
            <v>Brian Robinson</v>
          </cell>
          <cell r="B97">
            <v>141.80000000000001</v>
          </cell>
        </row>
        <row r="98">
          <cell r="A98" t="str">
            <v>Sam LaPorta</v>
          </cell>
          <cell r="B98">
            <v>174.1</v>
          </cell>
        </row>
        <row r="99">
          <cell r="A99" t="str">
            <v>Tyjae Spears</v>
          </cell>
          <cell r="B99">
            <v>139.5</v>
          </cell>
        </row>
        <row r="100">
          <cell r="A100" t="str">
            <v>Ricky Pearsall</v>
          </cell>
          <cell r="B100">
            <v>177.4</v>
          </cell>
        </row>
        <row r="101">
          <cell r="A101" t="str">
            <v>Kaleb Johnson</v>
          </cell>
          <cell r="B101">
            <v>136.69999999999999</v>
          </cell>
        </row>
        <row r="102">
          <cell r="A102" t="str">
            <v>Khalil Shakir</v>
          </cell>
          <cell r="B102">
            <v>176.5</v>
          </cell>
        </row>
        <row r="103">
          <cell r="A103" t="str">
            <v>RJ Harvey</v>
          </cell>
          <cell r="B103">
            <v>134.4</v>
          </cell>
        </row>
        <row r="104">
          <cell r="A104" t="str">
            <v>Kyler Murray</v>
          </cell>
          <cell r="B104">
            <v>323.7</v>
          </cell>
        </row>
        <row r="105">
          <cell r="A105" t="str">
            <v>Darnell Mooney</v>
          </cell>
          <cell r="B105">
            <v>172.2</v>
          </cell>
        </row>
        <row r="106">
          <cell r="A106" t="str">
            <v>Rashee Rice</v>
          </cell>
          <cell r="B106">
            <v>171.7</v>
          </cell>
        </row>
        <row r="107">
          <cell r="A107" t="str">
            <v>Baker Mayfield</v>
          </cell>
          <cell r="B107">
            <v>320.8</v>
          </cell>
        </row>
        <row r="108">
          <cell r="A108" t="str">
            <v>Rome Odunze</v>
          </cell>
          <cell r="B108">
            <v>170.1</v>
          </cell>
        </row>
        <row r="109">
          <cell r="A109" t="str">
            <v>Dylan Sampson</v>
          </cell>
          <cell r="B109">
            <v>129.30000000000001</v>
          </cell>
        </row>
        <row r="110">
          <cell r="A110" t="str">
            <v>Blake Corum</v>
          </cell>
          <cell r="B110">
            <v>128.30000000000001</v>
          </cell>
        </row>
        <row r="111">
          <cell r="A111" t="str">
            <v>JJ McCarthy</v>
          </cell>
          <cell r="B111">
            <v>318.39999999999998</v>
          </cell>
        </row>
        <row r="112">
          <cell r="A112" t="str">
            <v>Bo Nix</v>
          </cell>
          <cell r="B112">
            <v>314.89999999999998</v>
          </cell>
        </row>
        <row r="113">
          <cell r="A113" t="str">
            <v>Justin Herbert</v>
          </cell>
          <cell r="B113">
            <v>313.3</v>
          </cell>
        </row>
        <row r="114">
          <cell r="A114" t="str">
            <v>Jared Goff</v>
          </cell>
          <cell r="B114">
            <v>313.3</v>
          </cell>
        </row>
        <row r="115">
          <cell r="A115" t="str">
            <v>Josh Downs</v>
          </cell>
          <cell r="B115">
            <v>161.69999999999999</v>
          </cell>
        </row>
        <row r="116">
          <cell r="A116" t="str">
            <v>Khalil Herbert</v>
          </cell>
          <cell r="B116">
            <v>118.8</v>
          </cell>
        </row>
        <row r="117">
          <cell r="A117" t="str">
            <v>Jake Ferguson</v>
          </cell>
          <cell r="B117">
            <v>150.4</v>
          </cell>
        </row>
        <row r="118">
          <cell r="A118" t="str">
            <v>Woody Marks</v>
          </cell>
          <cell r="B118">
            <v>115.5</v>
          </cell>
        </row>
        <row r="119">
          <cell r="A119" t="str">
            <v>Brock Purdy</v>
          </cell>
          <cell r="B119">
            <v>306.10000000000002</v>
          </cell>
        </row>
        <row r="120">
          <cell r="A120" t="str">
            <v>Rico Dowdle</v>
          </cell>
          <cell r="B120">
            <v>114.5</v>
          </cell>
        </row>
        <row r="121">
          <cell r="A121" t="str">
            <v>Cam Skattebo</v>
          </cell>
          <cell r="B121">
            <v>114.4</v>
          </cell>
        </row>
        <row r="122">
          <cell r="A122" t="str">
            <v>Xavier Legette</v>
          </cell>
          <cell r="B122">
            <v>154.4</v>
          </cell>
        </row>
        <row r="123">
          <cell r="A123" t="str">
            <v>Tank Bigsby</v>
          </cell>
          <cell r="B123">
            <v>113</v>
          </cell>
        </row>
        <row r="124">
          <cell r="A124" t="str">
            <v>Tyler Warren</v>
          </cell>
          <cell r="B124">
            <v>145.6</v>
          </cell>
        </row>
        <row r="125">
          <cell r="A125" t="str">
            <v>Tre Harris</v>
          </cell>
          <cell r="B125">
            <v>152.30000000000001</v>
          </cell>
        </row>
        <row r="126">
          <cell r="A126" t="str">
            <v>Jaylen Wright</v>
          </cell>
          <cell r="B126">
            <v>110.8</v>
          </cell>
        </row>
        <row r="127">
          <cell r="A127" t="str">
            <v>Dalton Kincaid</v>
          </cell>
          <cell r="B127">
            <v>142.69999999999999</v>
          </cell>
        </row>
        <row r="128">
          <cell r="A128" t="str">
            <v>Jaleel McLaughlin</v>
          </cell>
          <cell r="B128">
            <v>108.4</v>
          </cell>
        </row>
        <row r="129">
          <cell r="A129" t="str">
            <v>CJ Stroud</v>
          </cell>
          <cell r="B129">
            <v>298.60000000000002</v>
          </cell>
        </row>
        <row r="130">
          <cell r="A130" t="str">
            <v>Rhamondre Stevenson</v>
          </cell>
          <cell r="B130">
            <v>107.2</v>
          </cell>
        </row>
        <row r="131">
          <cell r="A131" t="str">
            <v>Hollywood Brown</v>
          </cell>
          <cell r="B131">
            <v>146.1</v>
          </cell>
        </row>
        <row r="132">
          <cell r="A132" t="str">
            <v>Jordan Love</v>
          </cell>
          <cell r="B132">
            <v>296.39999999999998</v>
          </cell>
        </row>
        <row r="133">
          <cell r="A133" t="str">
            <v>MarShawn Lloyd</v>
          </cell>
          <cell r="B133">
            <v>104.9</v>
          </cell>
        </row>
        <row r="134">
          <cell r="A134" t="str">
            <v>Tetairoa McMillan</v>
          </cell>
          <cell r="B134">
            <v>144.6</v>
          </cell>
        </row>
        <row r="135">
          <cell r="A135" t="str">
            <v>Anthony Richardson</v>
          </cell>
          <cell r="B135">
            <v>293.5</v>
          </cell>
        </row>
        <row r="136">
          <cell r="A136" t="str">
            <v>Zamir White</v>
          </cell>
          <cell r="B136">
            <v>102.6</v>
          </cell>
        </row>
        <row r="137">
          <cell r="A137" t="str">
            <v>Jordan Addison</v>
          </cell>
          <cell r="B137">
            <v>142.4</v>
          </cell>
        </row>
        <row r="138">
          <cell r="A138" t="str">
            <v>Trey Benson</v>
          </cell>
          <cell r="B138">
            <v>101.5</v>
          </cell>
        </row>
        <row r="139">
          <cell r="A139" t="str">
            <v>Evan Engram</v>
          </cell>
          <cell r="B139">
            <v>134.19999999999999</v>
          </cell>
        </row>
        <row r="140">
          <cell r="A140" t="str">
            <v>Cedric Tillman</v>
          </cell>
          <cell r="B140">
            <v>139.6</v>
          </cell>
        </row>
        <row r="141">
          <cell r="A141" t="str">
            <v>Adam Thielen</v>
          </cell>
          <cell r="B141">
            <v>139.6</v>
          </cell>
        </row>
        <row r="142">
          <cell r="A142" t="str">
            <v>Rashod Bateman</v>
          </cell>
          <cell r="B142">
            <v>139.19999999999999</v>
          </cell>
        </row>
        <row r="143">
          <cell r="A143" t="str">
            <v>Justin Fields</v>
          </cell>
          <cell r="B143">
            <v>285.5</v>
          </cell>
        </row>
        <row r="144">
          <cell r="A144" t="str">
            <v>Wan'Dale Robinson</v>
          </cell>
          <cell r="B144">
            <v>135.19999999999999</v>
          </cell>
        </row>
        <row r="145">
          <cell r="A145" t="str">
            <v>Zack Moss</v>
          </cell>
          <cell r="B145">
            <v>94.3</v>
          </cell>
        </row>
        <row r="146">
          <cell r="A146" t="str">
            <v>Kareem Hunt</v>
          </cell>
          <cell r="B146">
            <v>93.9</v>
          </cell>
        </row>
        <row r="147">
          <cell r="A147" t="str">
            <v>Zach Ertz</v>
          </cell>
          <cell r="B147">
            <v>124.8</v>
          </cell>
        </row>
        <row r="148">
          <cell r="A148" t="str">
            <v>Quentin Johnston</v>
          </cell>
          <cell r="B148">
            <v>130.80000000000001</v>
          </cell>
        </row>
        <row r="149">
          <cell r="A149" t="str">
            <v>Isaiah Likely</v>
          </cell>
          <cell r="B149">
            <v>123</v>
          </cell>
        </row>
        <row r="150">
          <cell r="A150" t="str">
            <v>Tucker Kraft</v>
          </cell>
          <cell r="B150">
            <v>121.6</v>
          </cell>
        </row>
        <row r="151">
          <cell r="A151" t="str">
            <v>Mike Gesicki</v>
          </cell>
          <cell r="B151">
            <v>120.8</v>
          </cell>
        </row>
        <row r="152">
          <cell r="A152" t="str">
            <v>Denver D/ST</v>
          </cell>
          <cell r="B152">
            <v>122.6</v>
          </cell>
        </row>
        <row r="153">
          <cell r="A153" t="str">
            <v>Philadelphia D/ST</v>
          </cell>
          <cell r="B153">
            <v>116.6</v>
          </cell>
        </row>
        <row r="154">
          <cell r="A154" t="str">
            <v>Keaton Mitchell</v>
          </cell>
          <cell r="B154">
            <v>86.3</v>
          </cell>
        </row>
        <row r="155">
          <cell r="A155" t="str">
            <v>Miami D/ST</v>
          </cell>
          <cell r="B155">
            <v>114.5</v>
          </cell>
        </row>
        <row r="156">
          <cell r="A156" t="str">
            <v>Christian Kirk</v>
          </cell>
          <cell r="B156">
            <v>126.7</v>
          </cell>
        </row>
        <row r="157">
          <cell r="A157" t="str">
            <v>Baltimore D/ST</v>
          </cell>
          <cell r="B157">
            <v>113.8</v>
          </cell>
        </row>
        <row r="158">
          <cell r="A158" t="str">
            <v>Antonio Gibson</v>
          </cell>
          <cell r="B158">
            <v>85.9</v>
          </cell>
        </row>
        <row r="159">
          <cell r="A159" t="str">
            <v>Buffalo D/ST</v>
          </cell>
          <cell r="B159">
            <v>112.2</v>
          </cell>
        </row>
        <row r="160">
          <cell r="A160" t="str">
            <v>Cameron Dicker</v>
          </cell>
          <cell r="B160">
            <v>156.80000000000001</v>
          </cell>
        </row>
        <row r="161">
          <cell r="A161" t="str">
            <v>Minnesota D/ST</v>
          </cell>
          <cell r="B161">
            <v>109.9</v>
          </cell>
        </row>
        <row r="162">
          <cell r="A162" t="str">
            <v>Chase McLaughlin</v>
          </cell>
          <cell r="B162">
            <v>155</v>
          </cell>
        </row>
        <row r="163">
          <cell r="A163" t="str">
            <v>Raheem Mostert</v>
          </cell>
          <cell r="B163">
            <v>85.2</v>
          </cell>
        </row>
        <row r="164">
          <cell r="A164" t="str">
            <v>Jake Bates</v>
          </cell>
          <cell r="B164">
            <v>152.30000000000001</v>
          </cell>
        </row>
        <row r="165">
          <cell r="A165" t="str">
            <v>Brenton Strange</v>
          </cell>
          <cell r="B165">
            <v>118.1</v>
          </cell>
        </row>
        <row r="166">
          <cell r="A166" t="str">
            <v>Jason Sanders</v>
          </cell>
          <cell r="B166">
            <v>149.69999999999999</v>
          </cell>
        </row>
        <row r="167">
          <cell r="A167" t="str">
            <v>San Francisco D/ST</v>
          </cell>
          <cell r="B167">
            <v>106.4</v>
          </cell>
        </row>
        <row r="168">
          <cell r="A168" t="str">
            <v>Brandon McManus</v>
          </cell>
          <cell r="B168">
            <v>148.69999999999999</v>
          </cell>
        </row>
        <row r="169">
          <cell r="A169" t="str">
            <v>Sam Darnold</v>
          </cell>
          <cell r="B169">
            <v>275.60000000000002</v>
          </cell>
        </row>
        <row r="170">
          <cell r="A170" t="str">
            <v>Houston D/ST</v>
          </cell>
          <cell r="B170" t="str">
            <v xml:space="preserve"> </v>
          </cell>
        </row>
        <row r="171">
          <cell r="A171" t="str">
            <v>Los Angeles Chargers D/ST</v>
          </cell>
          <cell r="B171">
            <v>105.7</v>
          </cell>
        </row>
        <row r="172">
          <cell r="A172" t="str">
            <v>Spencer Shrader</v>
          </cell>
          <cell r="B172">
            <v>147.80000000000001</v>
          </cell>
        </row>
        <row r="173">
          <cell r="A173" t="str">
            <v>Chris Boswell</v>
          </cell>
          <cell r="B173">
            <v>147.5</v>
          </cell>
        </row>
        <row r="174">
          <cell r="A174" t="str">
            <v>Cairo Santos</v>
          </cell>
          <cell r="B174">
            <v>147.4</v>
          </cell>
        </row>
        <row r="175">
          <cell r="A175" t="str">
            <v>Washington D/ST</v>
          </cell>
          <cell r="B175">
            <v>105.1</v>
          </cell>
        </row>
        <row r="176">
          <cell r="A176" t="str">
            <v>Chad Ryland</v>
          </cell>
          <cell r="B176">
            <v>146.1</v>
          </cell>
        </row>
        <row r="177">
          <cell r="A177" t="str">
            <v>Cameron Ward</v>
          </cell>
          <cell r="B177">
            <v>275.39999999999998</v>
          </cell>
        </row>
        <row r="178">
          <cell r="A178" t="str">
            <v>Tampa Bay D/ST</v>
          </cell>
          <cell r="B178">
            <v>104.5</v>
          </cell>
        </row>
        <row r="179">
          <cell r="A179" t="str">
            <v>Joshua Karty</v>
          </cell>
          <cell r="B179">
            <v>144.4</v>
          </cell>
        </row>
        <row r="180">
          <cell r="A180" t="str">
            <v>Brandon Aubrey</v>
          </cell>
          <cell r="B180">
            <v>144.30000000000001</v>
          </cell>
        </row>
        <row r="181">
          <cell r="A181" t="str">
            <v>Harrison Butker</v>
          </cell>
          <cell r="B181">
            <v>144.30000000000001</v>
          </cell>
        </row>
        <row r="182">
          <cell r="A182" t="str">
            <v>Detroit D/ST</v>
          </cell>
          <cell r="B182">
            <v>103.4</v>
          </cell>
        </row>
        <row r="183">
          <cell r="A183" t="str">
            <v>Matthew Stafford</v>
          </cell>
          <cell r="B183">
            <v>275.10000000000002</v>
          </cell>
        </row>
        <row r="184">
          <cell r="A184" t="str">
            <v>Kansas City D/ST</v>
          </cell>
          <cell r="B184">
            <v>102.1</v>
          </cell>
        </row>
        <row r="185">
          <cell r="A185" t="str">
            <v>Will Reichard</v>
          </cell>
          <cell r="B185">
            <v>141.1</v>
          </cell>
        </row>
        <row r="186">
          <cell r="A186" t="str">
            <v>Caleb Williams</v>
          </cell>
          <cell r="B186">
            <v>275</v>
          </cell>
        </row>
        <row r="187">
          <cell r="A187" t="str">
            <v>Cade Otton</v>
          </cell>
          <cell r="B187">
            <v>117.3</v>
          </cell>
        </row>
        <row r="188">
          <cell r="A188" t="str">
            <v>Tyler Bass</v>
          </cell>
          <cell r="B188">
            <v>141.1</v>
          </cell>
        </row>
        <row r="189">
          <cell r="A189" t="str">
            <v>Ray Davis</v>
          </cell>
          <cell r="B189">
            <v>84.1</v>
          </cell>
        </row>
        <row r="190">
          <cell r="A190" t="str">
            <v>Diontae Johnson</v>
          </cell>
          <cell r="B190">
            <v>124.7</v>
          </cell>
        </row>
        <row r="191">
          <cell r="A191" t="str">
            <v>Las Vegas D/ST</v>
          </cell>
          <cell r="B191">
            <v>101.5</v>
          </cell>
        </row>
        <row r="192">
          <cell r="A192" t="str">
            <v>Cam Little</v>
          </cell>
          <cell r="B192">
            <v>139.1</v>
          </cell>
        </row>
        <row r="193">
          <cell r="A193" t="str">
            <v>Seattle D/ST</v>
          </cell>
          <cell r="B193">
            <v>101</v>
          </cell>
        </row>
        <row r="194">
          <cell r="A194" t="str">
            <v>New Orleans D/ST</v>
          </cell>
          <cell r="B194">
            <v>101</v>
          </cell>
        </row>
        <row r="195">
          <cell r="A195" t="str">
            <v>Daniel Carlson</v>
          </cell>
          <cell r="B195">
            <v>138.69999999999999</v>
          </cell>
        </row>
        <row r="196">
          <cell r="A196" t="str">
            <v>Ka'imi Fairbairn</v>
          </cell>
          <cell r="B196">
            <v>138.6</v>
          </cell>
        </row>
        <row r="197">
          <cell r="A197" t="str">
            <v>Green Bay D/ST</v>
          </cell>
          <cell r="B197">
            <v>100.8</v>
          </cell>
        </row>
        <row r="198">
          <cell r="A198" t="str">
            <v>Pittsburgh D/ST</v>
          </cell>
          <cell r="B198">
            <v>100.8</v>
          </cell>
        </row>
        <row r="199">
          <cell r="A199" t="str">
            <v>Arizona D/ST</v>
          </cell>
          <cell r="B199">
            <v>100.8</v>
          </cell>
        </row>
        <row r="200">
          <cell r="A200" t="str">
            <v>Jason Myers</v>
          </cell>
          <cell r="B200">
            <v>137.6</v>
          </cell>
        </row>
        <row r="201">
          <cell r="A201" t="str">
            <v>Jake Elliot</v>
          </cell>
          <cell r="B201">
            <v>137.4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toballer_ppr_projections"/>
    </sheetNames>
    <sheetDataSet>
      <sheetData sheetId="0">
        <row r="1">
          <cell r="B1" t="str">
            <v>Player</v>
          </cell>
          <cell r="C1" t="str">
            <v>Team</v>
          </cell>
          <cell r="D1" t="str">
            <v>Position</v>
          </cell>
          <cell r="E1" t="str">
            <v>ADP</v>
          </cell>
          <cell r="F1" t="str">
            <v>Bye</v>
          </cell>
          <cell r="G1" t="str">
            <v>FPTS</v>
          </cell>
        </row>
        <row r="2">
          <cell r="B2" t="str">
            <v>Ja'Marr Chase</v>
          </cell>
          <cell r="C2" t="str">
            <v>CIN</v>
          </cell>
          <cell r="D2" t="str">
            <v>WR</v>
          </cell>
          <cell r="E2">
            <v>2.56</v>
          </cell>
          <cell r="F2">
            <v>10</v>
          </cell>
          <cell r="G2">
            <v>355</v>
          </cell>
        </row>
        <row r="3">
          <cell r="B3" t="str">
            <v>CeeDee Lamb</v>
          </cell>
          <cell r="C3" t="str">
            <v>DAL</v>
          </cell>
          <cell r="D3" t="str">
            <v>WR</v>
          </cell>
          <cell r="E3">
            <v>9.52</v>
          </cell>
          <cell r="F3">
            <v>10</v>
          </cell>
          <cell r="G3">
            <v>301</v>
          </cell>
        </row>
        <row r="4">
          <cell r="B4" t="str">
            <v>Bijan Robinson</v>
          </cell>
          <cell r="C4" t="str">
            <v>ATL</v>
          </cell>
          <cell r="D4" t="str">
            <v>RB</v>
          </cell>
          <cell r="E4">
            <v>3.96</v>
          </cell>
          <cell r="F4">
            <v>5</v>
          </cell>
          <cell r="G4">
            <v>329</v>
          </cell>
        </row>
        <row r="5">
          <cell r="B5" t="str">
            <v>Jahmyr Gibbs</v>
          </cell>
          <cell r="C5" t="str">
            <v>DET</v>
          </cell>
          <cell r="D5" t="str">
            <v>RB</v>
          </cell>
          <cell r="E5">
            <v>5.91</v>
          </cell>
          <cell r="F5">
            <v>8</v>
          </cell>
          <cell r="G5">
            <v>324</v>
          </cell>
        </row>
        <row r="6">
          <cell r="B6" t="str">
            <v>Saquon Barkley</v>
          </cell>
          <cell r="C6" t="str">
            <v>PHI</v>
          </cell>
          <cell r="D6" t="str">
            <v>RB</v>
          </cell>
          <cell r="E6">
            <v>5.99</v>
          </cell>
          <cell r="F6">
            <v>9</v>
          </cell>
          <cell r="G6">
            <v>311</v>
          </cell>
        </row>
        <row r="7">
          <cell r="B7" t="str">
            <v>Justin Jefferson</v>
          </cell>
          <cell r="C7" t="str">
            <v>MIN</v>
          </cell>
          <cell r="D7" t="str">
            <v>WR</v>
          </cell>
          <cell r="E7">
            <v>7</v>
          </cell>
          <cell r="F7">
            <v>6</v>
          </cell>
          <cell r="G7">
            <v>295</v>
          </cell>
        </row>
        <row r="8">
          <cell r="B8" t="str">
            <v>Christian McCaffrey</v>
          </cell>
          <cell r="C8" t="str">
            <v>SF</v>
          </cell>
          <cell r="D8" t="str">
            <v>RB</v>
          </cell>
          <cell r="E8">
            <v>7.43</v>
          </cell>
          <cell r="F8">
            <v>14</v>
          </cell>
          <cell r="G8">
            <v>288</v>
          </cell>
        </row>
        <row r="9">
          <cell r="B9" t="str">
            <v>Amon-Ra St Brown</v>
          </cell>
          <cell r="C9" t="str">
            <v>DET</v>
          </cell>
          <cell r="D9" t="str">
            <v>WR</v>
          </cell>
          <cell r="E9">
            <v>11.44</v>
          </cell>
          <cell r="F9">
            <v>8</v>
          </cell>
          <cell r="G9">
            <v>288</v>
          </cell>
        </row>
        <row r="10">
          <cell r="B10" t="str">
            <v>Puka Nacua</v>
          </cell>
          <cell r="C10" t="str">
            <v>LAR</v>
          </cell>
          <cell r="D10" t="str">
            <v>WR</v>
          </cell>
          <cell r="E10">
            <v>12.5</v>
          </cell>
          <cell r="F10">
            <v>8</v>
          </cell>
          <cell r="G10">
            <v>281</v>
          </cell>
        </row>
        <row r="11">
          <cell r="B11" t="str">
            <v>Brian Thomas Jr</v>
          </cell>
          <cell r="C11" t="str">
            <v>JAX</v>
          </cell>
          <cell r="D11" t="str">
            <v>WR</v>
          </cell>
          <cell r="E11">
            <v>26.29</v>
          </cell>
          <cell r="F11">
            <v>8</v>
          </cell>
          <cell r="G11">
            <v>269</v>
          </cell>
        </row>
        <row r="12">
          <cell r="B12" t="str">
            <v>Nico Collins</v>
          </cell>
          <cell r="C12" t="str">
            <v>HOU</v>
          </cell>
          <cell r="D12" t="str">
            <v>WR</v>
          </cell>
          <cell r="E12">
            <v>16.260000000000002</v>
          </cell>
          <cell r="F12">
            <v>6</v>
          </cell>
          <cell r="G12">
            <v>281</v>
          </cell>
        </row>
        <row r="13">
          <cell r="B13" t="str">
            <v>Ashton Jeanty</v>
          </cell>
          <cell r="C13" t="str">
            <v>LV</v>
          </cell>
          <cell r="D13" t="str">
            <v>RB</v>
          </cell>
          <cell r="E13">
            <v>15.96</v>
          </cell>
          <cell r="F13">
            <v>8</v>
          </cell>
          <cell r="G13">
            <v>252</v>
          </cell>
        </row>
        <row r="14">
          <cell r="B14" t="str">
            <v>AJ Brown</v>
          </cell>
          <cell r="C14" t="str">
            <v>PHI</v>
          </cell>
          <cell r="D14" t="str">
            <v>WR</v>
          </cell>
          <cell r="E14">
            <v>24.23</v>
          </cell>
          <cell r="F14">
            <v>9</v>
          </cell>
          <cell r="G14">
            <v>261</v>
          </cell>
        </row>
        <row r="15">
          <cell r="B15" t="str">
            <v>De'von Achane</v>
          </cell>
          <cell r="C15" t="str">
            <v>MIA</v>
          </cell>
          <cell r="D15" t="str">
            <v>RB</v>
          </cell>
          <cell r="E15">
            <v>15.89</v>
          </cell>
          <cell r="F15">
            <v>12</v>
          </cell>
          <cell r="G15">
            <v>276</v>
          </cell>
        </row>
        <row r="16">
          <cell r="B16" t="str">
            <v>Derrick Henry</v>
          </cell>
          <cell r="C16" t="str">
            <v>BAL</v>
          </cell>
          <cell r="D16" t="str">
            <v>RB</v>
          </cell>
          <cell r="E16">
            <v>18.07</v>
          </cell>
          <cell r="F16">
            <v>7</v>
          </cell>
          <cell r="G16">
            <v>274</v>
          </cell>
        </row>
        <row r="17">
          <cell r="B17" t="str">
            <v>Ladd McConkey</v>
          </cell>
          <cell r="C17" t="str">
            <v>LAC</v>
          </cell>
          <cell r="D17" t="str">
            <v>WR</v>
          </cell>
          <cell r="E17">
            <v>30.94</v>
          </cell>
          <cell r="F17">
            <v>12</v>
          </cell>
          <cell r="G17">
            <v>245</v>
          </cell>
        </row>
        <row r="18">
          <cell r="B18" t="str">
            <v>Chase Brown</v>
          </cell>
          <cell r="C18" t="str">
            <v>CIN</v>
          </cell>
          <cell r="D18" t="str">
            <v>RB</v>
          </cell>
          <cell r="E18">
            <v>30.89</v>
          </cell>
          <cell r="F18">
            <v>10</v>
          </cell>
          <cell r="G18">
            <v>258</v>
          </cell>
        </row>
        <row r="19">
          <cell r="B19" t="str">
            <v>Brock Bowers</v>
          </cell>
          <cell r="C19" t="str">
            <v>LV</v>
          </cell>
          <cell r="D19" t="str">
            <v>TE</v>
          </cell>
          <cell r="E19">
            <v>24.35</v>
          </cell>
          <cell r="F19">
            <v>8</v>
          </cell>
          <cell r="G19">
            <v>257</v>
          </cell>
        </row>
        <row r="20">
          <cell r="B20" t="str">
            <v>Drake London</v>
          </cell>
          <cell r="C20" t="str">
            <v>ATL</v>
          </cell>
          <cell r="D20" t="str">
            <v>WR</v>
          </cell>
          <cell r="E20">
            <v>18.510000000000002</v>
          </cell>
          <cell r="F20">
            <v>5</v>
          </cell>
          <cell r="G20">
            <v>271</v>
          </cell>
        </row>
        <row r="21">
          <cell r="B21" t="str">
            <v>Trey McBride</v>
          </cell>
          <cell r="C21" t="str">
            <v>ARI</v>
          </cell>
          <cell r="D21" t="str">
            <v>TE</v>
          </cell>
          <cell r="E21">
            <v>24.86</v>
          </cell>
          <cell r="F21">
            <v>8</v>
          </cell>
          <cell r="G21">
            <v>234</v>
          </cell>
        </row>
        <row r="22">
          <cell r="B22" t="str">
            <v>Tee Higgins</v>
          </cell>
          <cell r="C22" t="str">
            <v>CIN</v>
          </cell>
          <cell r="D22" t="str">
            <v>WR</v>
          </cell>
          <cell r="E22">
            <v>33.04</v>
          </cell>
          <cell r="F22">
            <v>10</v>
          </cell>
          <cell r="G22">
            <v>257</v>
          </cell>
        </row>
        <row r="23">
          <cell r="B23" t="str">
            <v>Bucky Irving</v>
          </cell>
          <cell r="C23" t="str">
            <v>TB</v>
          </cell>
          <cell r="D23" t="str">
            <v>RB</v>
          </cell>
          <cell r="E23">
            <v>28.95</v>
          </cell>
          <cell r="F23">
            <v>9</v>
          </cell>
          <cell r="G23">
            <v>259</v>
          </cell>
        </row>
        <row r="24">
          <cell r="B24" t="str">
            <v>Jonathan Taylor</v>
          </cell>
          <cell r="C24" t="str">
            <v>IND</v>
          </cell>
          <cell r="D24" t="str">
            <v>RB</v>
          </cell>
          <cell r="E24">
            <v>11.98</v>
          </cell>
          <cell r="F24">
            <v>11</v>
          </cell>
          <cell r="G24">
            <v>263</v>
          </cell>
        </row>
        <row r="25">
          <cell r="B25" t="str">
            <v>Josh Jacobs</v>
          </cell>
          <cell r="C25" t="str">
            <v>GB</v>
          </cell>
          <cell r="D25" t="str">
            <v>RB</v>
          </cell>
          <cell r="E25">
            <v>18.25</v>
          </cell>
          <cell r="F25">
            <v>5</v>
          </cell>
          <cell r="G25">
            <v>259</v>
          </cell>
        </row>
        <row r="26">
          <cell r="B26" t="str">
            <v>Josh Allen</v>
          </cell>
          <cell r="C26" t="str">
            <v>BUF</v>
          </cell>
          <cell r="D26" t="str">
            <v>QB</v>
          </cell>
          <cell r="E26">
            <v>22.78</v>
          </cell>
          <cell r="F26">
            <v>7</v>
          </cell>
          <cell r="G26">
            <v>362</v>
          </cell>
        </row>
        <row r="27">
          <cell r="B27" t="str">
            <v>Lamar Jackson</v>
          </cell>
          <cell r="C27" t="str">
            <v>BAL</v>
          </cell>
          <cell r="D27" t="str">
            <v>QB</v>
          </cell>
          <cell r="E27">
            <v>25.61</v>
          </cell>
          <cell r="F27">
            <v>7</v>
          </cell>
          <cell r="G27">
            <v>359</v>
          </cell>
        </row>
        <row r="28">
          <cell r="B28" t="str">
            <v>Davante Adams</v>
          </cell>
          <cell r="C28" t="str">
            <v>LAR</v>
          </cell>
          <cell r="D28" t="str">
            <v>WR</v>
          </cell>
          <cell r="E28">
            <v>40.08</v>
          </cell>
          <cell r="F28">
            <v>8</v>
          </cell>
          <cell r="G28">
            <v>250</v>
          </cell>
        </row>
        <row r="29">
          <cell r="B29" t="str">
            <v>Mike Evans</v>
          </cell>
          <cell r="C29" t="str">
            <v>TB</v>
          </cell>
          <cell r="D29" t="str">
            <v>WR</v>
          </cell>
          <cell r="E29">
            <v>64.97</v>
          </cell>
          <cell r="F29">
            <v>9</v>
          </cell>
          <cell r="G29">
            <v>251</v>
          </cell>
        </row>
        <row r="30">
          <cell r="B30" t="str">
            <v>George Kittle</v>
          </cell>
          <cell r="C30" t="str">
            <v>SF</v>
          </cell>
          <cell r="D30" t="str">
            <v>TE</v>
          </cell>
          <cell r="E30">
            <v>35.36</v>
          </cell>
          <cell r="F30">
            <v>14</v>
          </cell>
          <cell r="G30">
            <v>226</v>
          </cell>
        </row>
        <row r="31">
          <cell r="B31" t="str">
            <v>James Cook</v>
          </cell>
          <cell r="C31" t="str">
            <v>BUF</v>
          </cell>
          <cell r="D31" t="str">
            <v>RB</v>
          </cell>
          <cell r="E31">
            <v>30.51</v>
          </cell>
          <cell r="F31">
            <v>7</v>
          </cell>
          <cell r="G31">
            <v>233</v>
          </cell>
        </row>
        <row r="32">
          <cell r="B32" t="str">
            <v>Omarion Hampton</v>
          </cell>
          <cell r="C32" t="str">
            <v>LAC</v>
          </cell>
          <cell r="D32" t="str">
            <v>RB</v>
          </cell>
          <cell r="E32">
            <v>49.34</v>
          </cell>
          <cell r="F32">
            <v>12</v>
          </cell>
          <cell r="G32">
            <v>207</v>
          </cell>
        </row>
        <row r="33">
          <cell r="B33" t="str">
            <v>Jaxon Smith-Njigba</v>
          </cell>
          <cell r="C33" t="str">
            <v>SEA</v>
          </cell>
          <cell r="D33" t="str">
            <v>WR</v>
          </cell>
          <cell r="E33">
            <v>23.39</v>
          </cell>
          <cell r="F33">
            <v>8</v>
          </cell>
          <cell r="G33">
            <v>250</v>
          </cell>
        </row>
        <row r="34">
          <cell r="B34" t="str">
            <v>Kyren Williams</v>
          </cell>
          <cell r="C34" t="str">
            <v>LAR</v>
          </cell>
          <cell r="D34" t="str">
            <v>RB</v>
          </cell>
          <cell r="E34">
            <v>31.32</v>
          </cell>
          <cell r="F34">
            <v>8</v>
          </cell>
          <cell r="G34">
            <v>245</v>
          </cell>
        </row>
        <row r="35">
          <cell r="B35" t="str">
            <v>Jalen Hurts</v>
          </cell>
          <cell r="C35" t="str">
            <v>PHI</v>
          </cell>
          <cell r="D35" t="str">
            <v>QB</v>
          </cell>
          <cell r="E35">
            <v>35.07</v>
          </cell>
          <cell r="F35">
            <v>9</v>
          </cell>
          <cell r="G35">
            <v>355</v>
          </cell>
        </row>
        <row r="36">
          <cell r="B36" t="str">
            <v>Marvin Harrison Jr</v>
          </cell>
          <cell r="C36" t="str">
            <v>ARI</v>
          </cell>
          <cell r="D36" t="str">
            <v>WR</v>
          </cell>
          <cell r="E36">
            <v>56.57</v>
          </cell>
          <cell r="F36">
            <v>8</v>
          </cell>
          <cell r="G36">
            <v>226</v>
          </cell>
        </row>
        <row r="37">
          <cell r="B37" t="str">
            <v>Jayden Daniels</v>
          </cell>
          <cell r="C37" t="str">
            <v>WSH</v>
          </cell>
          <cell r="D37" t="str">
            <v>QB</v>
          </cell>
          <cell r="E37">
            <v>42.19</v>
          </cell>
          <cell r="F37">
            <v>12</v>
          </cell>
          <cell r="G37">
            <v>360</v>
          </cell>
        </row>
        <row r="38">
          <cell r="B38" t="str">
            <v>Tetairoa McMillan</v>
          </cell>
          <cell r="C38" t="str">
            <v>CAR</v>
          </cell>
          <cell r="D38" t="str">
            <v>WR</v>
          </cell>
          <cell r="E38">
            <v>73.59</v>
          </cell>
          <cell r="F38">
            <v>14</v>
          </cell>
          <cell r="G38">
            <v>210</v>
          </cell>
        </row>
        <row r="39">
          <cell r="B39" t="str">
            <v>Xavier Worthy</v>
          </cell>
          <cell r="C39" t="str">
            <v>KC</v>
          </cell>
          <cell r="D39" t="str">
            <v>WR</v>
          </cell>
          <cell r="E39">
            <v>70.989999999999995</v>
          </cell>
          <cell r="F39">
            <v>10</v>
          </cell>
          <cell r="G39">
            <v>218</v>
          </cell>
        </row>
        <row r="40">
          <cell r="B40" t="str">
            <v>Terry McLaurin</v>
          </cell>
          <cell r="C40" t="str">
            <v>WSH</v>
          </cell>
          <cell r="D40" t="str">
            <v>WR</v>
          </cell>
          <cell r="E40">
            <v>52.16</v>
          </cell>
          <cell r="F40">
            <v>12</v>
          </cell>
          <cell r="G40">
            <v>250</v>
          </cell>
        </row>
        <row r="41">
          <cell r="B41" t="str">
            <v>Courtland Sutton</v>
          </cell>
          <cell r="C41" t="str">
            <v>DEN</v>
          </cell>
          <cell r="D41" t="str">
            <v>WR</v>
          </cell>
          <cell r="E41">
            <v>75.44</v>
          </cell>
          <cell r="F41">
            <v>12</v>
          </cell>
          <cell r="G41">
            <v>217</v>
          </cell>
        </row>
        <row r="42">
          <cell r="B42" t="str">
            <v>Breece Hall</v>
          </cell>
          <cell r="C42" t="str">
            <v>NYJ</v>
          </cell>
          <cell r="D42" t="str">
            <v>RB</v>
          </cell>
          <cell r="E42">
            <v>56.42</v>
          </cell>
          <cell r="F42">
            <v>9</v>
          </cell>
          <cell r="G42">
            <v>210</v>
          </cell>
        </row>
        <row r="43">
          <cell r="B43" t="str">
            <v>George Pickens</v>
          </cell>
          <cell r="C43" t="str">
            <v>DAL</v>
          </cell>
          <cell r="D43" t="str">
            <v>WR</v>
          </cell>
          <cell r="E43">
            <v>57.99</v>
          </cell>
          <cell r="F43">
            <v>10</v>
          </cell>
          <cell r="G43">
            <v>221</v>
          </cell>
        </row>
        <row r="44">
          <cell r="B44" t="str">
            <v>TreVeyon Henderson</v>
          </cell>
          <cell r="C44" t="str">
            <v>NE</v>
          </cell>
          <cell r="D44" t="str">
            <v>RB</v>
          </cell>
          <cell r="E44">
            <v>57.88</v>
          </cell>
          <cell r="F44">
            <v>14</v>
          </cell>
          <cell r="G44">
            <v>198</v>
          </cell>
        </row>
        <row r="45">
          <cell r="B45" t="str">
            <v>Jameson Williams</v>
          </cell>
          <cell r="C45" t="str">
            <v>DET</v>
          </cell>
          <cell r="D45" t="str">
            <v>WR</v>
          </cell>
          <cell r="E45">
            <v>80.7</v>
          </cell>
          <cell r="F45">
            <v>8</v>
          </cell>
          <cell r="G45">
            <v>203</v>
          </cell>
        </row>
        <row r="46">
          <cell r="B46" t="str">
            <v>Calvin Ridley</v>
          </cell>
          <cell r="C46" t="str">
            <v>TEN</v>
          </cell>
          <cell r="D46" t="str">
            <v>WR</v>
          </cell>
          <cell r="E46">
            <v>89.19</v>
          </cell>
          <cell r="F46">
            <v>10</v>
          </cell>
          <cell r="G46">
            <v>214</v>
          </cell>
        </row>
        <row r="47">
          <cell r="B47" t="str">
            <v>DJ Moore</v>
          </cell>
          <cell r="C47" t="str">
            <v>CHI</v>
          </cell>
          <cell r="D47" t="str">
            <v>WR</v>
          </cell>
          <cell r="E47">
            <v>78.680000000000007</v>
          </cell>
          <cell r="F47">
            <v>5</v>
          </cell>
          <cell r="G47">
            <v>234</v>
          </cell>
        </row>
        <row r="48">
          <cell r="B48" t="str">
            <v>Garrett Wilson</v>
          </cell>
          <cell r="C48" t="str">
            <v>NYJ</v>
          </cell>
          <cell r="D48" t="str">
            <v>WR</v>
          </cell>
          <cell r="E48">
            <v>53.56</v>
          </cell>
          <cell r="F48">
            <v>9</v>
          </cell>
          <cell r="G48">
            <v>237</v>
          </cell>
        </row>
        <row r="49">
          <cell r="B49" t="str">
            <v>Kenneth Walker III</v>
          </cell>
          <cell r="C49" t="str">
            <v>SEA</v>
          </cell>
          <cell r="D49" t="str">
            <v>RB</v>
          </cell>
          <cell r="E49">
            <v>56.74</v>
          </cell>
          <cell r="F49">
            <v>8</v>
          </cell>
          <cell r="G49">
            <v>213</v>
          </cell>
        </row>
        <row r="50">
          <cell r="B50" t="str">
            <v>DeVonta Smith</v>
          </cell>
          <cell r="C50" t="str">
            <v>PHI</v>
          </cell>
          <cell r="D50" t="str">
            <v>WR</v>
          </cell>
          <cell r="E50">
            <v>65.349999999999994</v>
          </cell>
          <cell r="F50">
            <v>9</v>
          </cell>
          <cell r="G50">
            <v>223</v>
          </cell>
        </row>
        <row r="51">
          <cell r="B51" t="str">
            <v>Jaylen Waddle</v>
          </cell>
          <cell r="C51" t="str">
            <v>MIA</v>
          </cell>
          <cell r="D51" t="str">
            <v>WR</v>
          </cell>
          <cell r="E51">
            <v>66.489999999999995</v>
          </cell>
          <cell r="F51">
            <v>12</v>
          </cell>
          <cell r="G51">
            <v>210</v>
          </cell>
        </row>
        <row r="52">
          <cell r="B52" t="str">
            <v>DK Metcalf</v>
          </cell>
          <cell r="C52" t="str">
            <v>PIT</v>
          </cell>
          <cell r="D52" t="str">
            <v>WR</v>
          </cell>
          <cell r="E52">
            <v>56.63</v>
          </cell>
          <cell r="F52">
            <v>5</v>
          </cell>
          <cell r="G52">
            <v>238</v>
          </cell>
        </row>
        <row r="53">
          <cell r="B53" t="str">
            <v>Zay Flowers</v>
          </cell>
          <cell r="C53" t="str">
            <v>BAL</v>
          </cell>
          <cell r="D53" t="str">
            <v>WR</v>
          </cell>
          <cell r="E53">
            <v>71.36</v>
          </cell>
          <cell r="F53">
            <v>7</v>
          </cell>
          <cell r="G53">
            <v>221</v>
          </cell>
        </row>
        <row r="54">
          <cell r="B54" t="str">
            <v>Alvin Kamara</v>
          </cell>
          <cell r="C54" t="str">
            <v>NO</v>
          </cell>
          <cell r="D54" t="str">
            <v>RB</v>
          </cell>
          <cell r="E54">
            <v>52.6</v>
          </cell>
          <cell r="F54">
            <v>11</v>
          </cell>
          <cell r="G54">
            <v>230</v>
          </cell>
        </row>
        <row r="55">
          <cell r="B55" t="str">
            <v>Chuba Hubbard</v>
          </cell>
          <cell r="C55" t="str">
            <v>CAR</v>
          </cell>
          <cell r="D55" t="str">
            <v>RB</v>
          </cell>
          <cell r="E55">
            <v>58</v>
          </cell>
          <cell r="F55">
            <v>14</v>
          </cell>
          <cell r="G55">
            <v>219</v>
          </cell>
        </row>
        <row r="56">
          <cell r="B56" t="str">
            <v>Sam LaPorta</v>
          </cell>
          <cell r="C56" t="str">
            <v>DET</v>
          </cell>
          <cell r="D56" t="str">
            <v>TE</v>
          </cell>
          <cell r="E56">
            <v>55.13</v>
          </cell>
          <cell r="F56">
            <v>8</v>
          </cell>
          <cell r="G56">
            <v>181</v>
          </cell>
        </row>
        <row r="57">
          <cell r="B57" t="str">
            <v>Emeka Egbuka</v>
          </cell>
          <cell r="C57" t="str">
            <v>TB</v>
          </cell>
          <cell r="D57" t="str">
            <v>WR</v>
          </cell>
          <cell r="E57">
            <v>70.42</v>
          </cell>
          <cell r="F57">
            <v>9</v>
          </cell>
          <cell r="G57">
            <v>171</v>
          </cell>
        </row>
        <row r="58">
          <cell r="B58" t="str">
            <v>Joe Burrow</v>
          </cell>
          <cell r="C58" t="str">
            <v>CIN</v>
          </cell>
          <cell r="D58" t="str">
            <v>QB</v>
          </cell>
          <cell r="E58">
            <v>55.41</v>
          </cell>
          <cell r="F58">
            <v>10</v>
          </cell>
          <cell r="G58">
            <v>331</v>
          </cell>
        </row>
        <row r="59">
          <cell r="B59" t="str">
            <v>Rashee Rice</v>
          </cell>
          <cell r="C59" t="str">
            <v>KC</v>
          </cell>
          <cell r="D59" t="str">
            <v>WR</v>
          </cell>
          <cell r="E59">
            <v>65.97</v>
          </cell>
          <cell r="F59">
            <v>10</v>
          </cell>
          <cell r="G59">
            <v>181</v>
          </cell>
        </row>
        <row r="60">
          <cell r="B60" t="str">
            <v>Tony Pollard</v>
          </cell>
          <cell r="C60" t="str">
            <v>TEN</v>
          </cell>
          <cell r="D60" t="str">
            <v>RB</v>
          </cell>
          <cell r="E60">
            <v>83.41</v>
          </cell>
          <cell r="F60">
            <v>10</v>
          </cell>
          <cell r="G60">
            <v>222</v>
          </cell>
        </row>
        <row r="61">
          <cell r="B61" t="str">
            <v>Rome Odunze</v>
          </cell>
          <cell r="C61" t="str">
            <v>CHI</v>
          </cell>
          <cell r="D61" t="str">
            <v>WR</v>
          </cell>
          <cell r="E61">
            <v>82.61</v>
          </cell>
          <cell r="F61">
            <v>5</v>
          </cell>
          <cell r="G61">
            <v>195</v>
          </cell>
        </row>
        <row r="62">
          <cell r="B62" t="str">
            <v>RJ Harvey</v>
          </cell>
          <cell r="C62" t="str">
            <v>DEN</v>
          </cell>
          <cell r="D62" t="str">
            <v>RB</v>
          </cell>
          <cell r="E62">
            <v>84.97</v>
          </cell>
          <cell r="F62">
            <v>12</v>
          </cell>
          <cell r="G62">
            <v>177</v>
          </cell>
        </row>
        <row r="63">
          <cell r="B63" t="str">
            <v>Chris Olave</v>
          </cell>
          <cell r="C63" t="str">
            <v>NO</v>
          </cell>
          <cell r="D63" t="str">
            <v>WR</v>
          </cell>
          <cell r="E63">
            <v>87.92</v>
          </cell>
          <cell r="F63">
            <v>11</v>
          </cell>
          <cell r="G63">
            <v>201</v>
          </cell>
        </row>
        <row r="64">
          <cell r="B64" t="str">
            <v>Jerry Jeudy</v>
          </cell>
          <cell r="C64" t="str">
            <v>CLE</v>
          </cell>
          <cell r="D64" t="str">
            <v>WR</v>
          </cell>
          <cell r="E64">
            <v>99.56</v>
          </cell>
          <cell r="F64">
            <v>9</v>
          </cell>
          <cell r="G64">
            <v>217</v>
          </cell>
        </row>
        <row r="65">
          <cell r="B65" t="str">
            <v>Jakobi Meyers</v>
          </cell>
          <cell r="C65" t="str">
            <v>JAX</v>
          </cell>
          <cell r="D65" t="str">
            <v>WR</v>
          </cell>
          <cell r="E65">
            <v>107.72</v>
          </cell>
          <cell r="F65">
            <v>8</v>
          </cell>
          <cell r="G65">
            <v>196</v>
          </cell>
        </row>
        <row r="66">
          <cell r="B66" t="str">
            <v>Stefon Diggs</v>
          </cell>
          <cell r="C66" t="str">
            <v>NE</v>
          </cell>
          <cell r="D66" t="str">
            <v>WR</v>
          </cell>
          <cell r="E66">
            <v>95.84</v>
          </cell>
          <cell r="F66">
            <v>14</v>
          </cell>
          <cell r="G66">
            <v>199</v>
          </cell>
        </row>
        <row r="67">
          <cell r="B67" t="str">
            <v>Ricky Pearsall</v>
          </cell>
          <cell r="C67" t="str">
            <v>SF</v>
          </cell>
          <cell r="D67" t="str">
            <v>WR</v>
          </cell>
          <cell r="E67">
            <v>104.73</v>
          </cell>
          <cell r="F67">
            <v>14</v>
          </cell>
          <cell r="G67">
            <v>192</v>
          </cell>
        </row>
        <row r="68">
          <cell r="B68" t="str">
            <v>David Montgomery</v>
          </cell>
          <cell r="C68" t="str">
            <v>DET</v>
          </cell>
          <cell r="D68" t="str">
            <v>RB</v>
          </cell>
          <cell r="E68">
            <v>76.83</v>
          </cell>
          <cell r="F68">
            <v>8</v>
          </cell>
          <cell r="G68">
            <v>209</v>
          </cell>
        </row>
        <row r="69">
          <cell r="B69" t="str">
            <v>Matthew Golden</v>
          </cell>
          <cell r="C69" t="str">
            <v>GB</v>
          </cell>
          <cell r="D69" t="str">
            <v>WR</v>
          </cell>
          <cell r="E69">
            <v>111.44</v>
          </cell>
          <cell r="F69">
            <v>5</v>
          </cell>
          <cell r="G69">
            <v>192</v>
          </cell>
        </row>
        <row r="70">
          <cell r="B70" t="str">
            <v>Aaron Jones</v>
          </cell>
          <cell r="C70" t="str">
            <v>MIN</v>
          </cell>
          <cell r="D70" t="str">
            <v>RB</v>
          </cell>
          <cell r="E70">
            <v>93.2</v>
          </cell>
          <cell r="F70">
            <v>6</v>
          </cell>
          <cell r="G70">
            <v>204</v>
          </cell>
        </row>
        <row r="71">
          <cell r="B71" t="str">
            <v>Deebo Samuel</v>
          </cell>
          <cell r="C71" t="str">
            <v>WSH</v>
          </cell>
          <cell r="D71" t="str">
            <v>WR</v>
          </cell>
          <cell r="E71">
            <v>111.49</v>
          </cell>
          <cell r="F71">
            <v>12</v>
          </cell>
          <cell r="G71">
            <v>197</v>
          </cell>
        </row>
        <row r="72">
          <cell r="B72" t="str">
            <v>Jayden Reed</v>
          </cell>
          <cell r="C72" t="str">
            <v>GB</v>
          </cell>
          <cell r="D72" t="str">
            <v>WR</v>
          </cell>
          <cell r="E72">
            <v>130.41999999999999</v>
          </cell>
          <cell r="F72">
            <v>5</v>
          </cell>
          <cell r="G72">
            <v>163</v>
          </cell>
        </row>
        <row r="73">
          <cell r="B73" t="str">
            <v>TJ Hockenson</v>
          </cell>
          <cell r="C73" t="str">
            <v>MIN</v>
          </cell>
          <cell r="D73" t="str">
            <v>TE</v>
          </cell>
          <cell r="E73">
            <v>71.63</v>
          </cell>
          <cell r="F73">
            <v>6</v>
          </cell>
          <cell r="G73">
            <v>175</v>
          </cell>
        </row>
        <row r="74">
          <cell r="B74" t="str">
            <v>D'Andre Swift</v>
          </cell>
          <cell r="C74" t="str">
            <v>CHI</v>
          </cell>
          <cell r="D74" t="str">
            <v>RB</v>
          </cell>
          <cell r="E74">
            <v>73.13</v>
          </cell>
          <cell r="F74">
            <v>5</v>
          </cell>
          <cell r="G74">
            <v>199</v>
          </cell>
        </row>
        <row r="75">
          <cell r="B75" t="str">
            <v>Mark Andrews</v>
          </cell>
          <cell r="C75" t="str">
            <v>BAL</v>
          </cell>
          <cell r="D75" t="str">
            <v>TE</v>
          </cell>
          <cell r="E75">
            <v>85.45</v>
          </cell>
          <cell r="F75">
            <v>7</v>
          </cell>
          <cell r="G75">
            <v>179</v>
          </cell>
        </row>
        <row r="76">
          <cell r="B76" t="str">
            <v>Josh Downs</v>
          </cell>
          <cell r="C76" t="str">
            <v>IND</v>
          </cell>
          <cell r="D76" t="str">
            <v>WR</v>
          </cell>
          <cell r="E76">
            <v>131.61000000000001</v>
          </cell>
          <cell r="F76">
            <v>11</v>
          </cell>
          <cell r="G76">
            <v>175</v>
          </cell>
        </row>
        <row r="77">
          <cell r="B77" t="str">
            <v>Jordan Addison</v>
          </cell>
          <cell r="C77" t="str">
            <v>MIN</v>
          </cell>
          <cell r="D77" t="str">
            <v>WR</v>
          </cell>
          <cell r="E77">
            <v>112.29</v>
          </cell>
          <cell r="F77">
            <v>6</v>
          </cell>
          <cell r="G77">
            <v>171</v>
          </cell>
        </row>
        <row r="78">
          <cell r="B78" t="str">
            <v>Travis Kelce</v>
          </cell>
          <cell r="C78" t="str">
            <v>KC</v>
          </cell>
          <cell r="D78" t="str">
            <v>TE</v>
          </cell>
          <cell r="E78">
            <v>69.25</v>
          </cell>
          <cell r="F78">
            <v>10</v>
          </cell>
          <cell r="G78">
            <v>188</v>
          </cell>
        </row>
        <row r="79">
          <cell r="B79" t="str">
            <v>Jaylen Warren</v>
          </cell>
          <cell r="C79" t="str">
            <v>PIT</v>
          </cell>
          <cell r="D79" t="str">
            <v>RB</v>
          </cell>
          <cell r="E79">
            <v>92.81</v>
          </cell>
          <cell r="F79">
            <v>5</v>
          </cell>
          <cell r="G79">
            <v>177</v>
          </cell>
        </row>
        <row r="80">
          <cell r="B80" t="str">
            <v>Isiah Pacheco</v>
          </cell>
          <cell r="C80" t="str">
            <v>KC</v>
          </cell>
          <cell r="D80" t="str">
            <v>RB</v>
          </cell>
          <cell r="E80">
            <v>91.08</v>
          </cell>
          <cell r="F80">
            <v>10</v>
          </cell>
          <cell r="G80">
            <v>185</v>
          </cell>
        </row>
        <row r="81">
          <cell r="B81" t="str">
            <v>Jordan Mason</v>
          </cell>
          <cell r="C81" t="str">
            <v>MIN</v>
          </cell>
          <cell r="D81" t="str">
            <v>RB</v>
          </cell>
          <cell r="E81">
            <v>116.92</v>
          </cell>
          <cell r="F81">
            <v>6</v>
          </cell>
          <cell r="G81">
            <v>136</v>
          </cell>
        </row>
        <row r="82">
          <cell r="B82" t="str">
            <v>Tyrone Tracy</v>
          </cell>
          <cell r="C82" t="str">
            <v>NYG</v>
          </cell>
          <cell r="D82" t="str">
            <v>RB</v>
          </cell>
          <cell r="E82">
            <v>101.45</v>
          </cell>
          <cell r="F82">
            <v>14</v>
          </cell>
          <cell r="G82">
            <v>186</v>
          </cell>
        </row>
        <row r="83">
          <cell r="B83" t="str">
            <v>Khalil Shakir</v>
          </cell>
          <cell r="C83" t="str">
            <v>BUF</v>
          </cell>
          <cell r="D83" t="str">
            <v>WR</v>
          </cell>
          <cell r="E83">
            <v>125.16</v>
          </cell>
          <cell r="F83">
            <v>7</v>
          </cell>
          <cell r="G83">
            <v>185</v>
          </cell>
        </row>
        <row r="84">
          <cell r="B84" t="str">
            <v>Patrick Mahomes</v>
          </cell>
          <cell r="C84" t="str">
            <v>KC</v>
          </cell>
          <cell r="D84" t="str">
            <v>QB</v>
          </cell>
          <cell r="E84">
            <v>50.04</v>
          </cell>
          <cell r="F84">
            <v>10</v>
          </cell>
          <cell r="G84">
            <v>317</v>
          </cell>
        </row>
        <row r="85">
          <cell r="B85" t="str">
            <v>Michael Pittman Jr</v>
          </cell>
          <cell r="C85" t="str">
            <v>IND</v>
          </cell>
          <cell r="D85" t="str">
            <v>WR</v>
          </cell>
          <cell r="E85">
            <v>106.92</v>
          </cell>
          <cell r="F85">
            <v>11</v>
          </cell>
          <cell r="G85">
            <v>194</v>
          </cell>
        </row>
        <row r="86">
          <cell r="B86" t="str">
            <v>Baker Mayfield</v>
          </cell>
          <cell r="C86" t="str">
            <v>TB</v>
          </cell>
          <cell r="D86" t="str">
            <v>QB</v>
          </cell>
          <cell r="E86">
            <v>71.41</v>
          </cell>
          <cell r="F86">
            <v>9</v>
          </cell>
          <cell r="G86">
            <v>317</v>
          </cell>
        </row>
        <row r="87">
          <cell r="B87" t="str">
            <v>Brock Purdy</v>
          </cell>
          <cell r="C87" t="str">
            <v>SF</v>
          </cell>
          <cell r="D87" t="str">
            <v>QB</v>
          </cell>
          <cell r="E87">
            <v>97.29</v>
          </cell>
          <cell r="F87">
            <v>14</v>
          </cell>
          <cell r="G87">
            <v>301</v>
          </cell>
        </row>
        <row r="88">
          <cell r="B88" t="str">
            <v>Justin Fields</v>
          </cell>
          <cell r="C88" t="str">
            <v>NYJ</v>
          </cell>
          <cell r="D88" t="str">
            <v>QB</v>
          </cell>
          <cell r="E88">
            <v>125.38</v>
          </cell>
          <cell r="F88">
            <v>9</v>
          </cell>
          <cell r="G88">
            <v>287</v>
          </cell>
        </row>
        <row r="89">
          <cell r="B89" t="str">
            <v>Kyler Murray</v>
          </cell>
          <cell r="C89" t="str">
            <v>ARI</v>
          </cell>
          <cell r="D89" t="str">
            <v>QB</v>
          </cell>
          <cell r="E89">
            <v>109.05</v>
          </cell>
          <cell r="F89">
            <v>8</v>
          </cell>
          <cell r="G89">
            <v>295</v>
          </cell>
        </row>
        <row r="90">
          <cell r="B90" t="str">
            <v>Jauan Jennings</v>
          </cell>
          <cell r="C90" t="str">
            <v>SF</v>
          </cell>
          <cell r="D90" t="str">
            <v>WR</v>
          </cell>
          <cell r="E90">
            <v>118.74</v>
          </cell>
          <cell r="F90">
            <v>14</v>
          </cell>
          <cell r="G90">
            <v>190</v>
          </cell>
        </row>
        <row r="91">
          <cell r="B91" t="str">
            <v>Evan Engram</v>
          </cell>
          <cell r="C91" t="str">
            <v>DEN</v>
          </cell>
          <cell r="D91" t="str">
            <v>TE</v>
          </cell>
          <cell r="E91">
            <v>101.36</v>
          </cell>
          <cell r="F91">
            <v>12</v>
          </cell>
          <cell r="G91">
            <v>163</v>
          </cell>
        </row>
        <row r="92">
          <cell r="B92" t="str">
            <v>Darnell Mooney</v>
          </cell>
          <cell r="C92" t="str">
            <v>ATL</v>
          </cell>
          <cell r="D92" t="str">
            <v>WR</v>
          </cell>
          <cell r="E92">
            <v>138.77000000000001</v>
          </cell>
          <cell r="F92">
            <v>5</v>
          </cell>
          <cell r="G92">
            <v>166</v>
          </cell>
        </row>
        <row r="93">
          <cell r="B93" t="str">
            <v>Cooper Kupp</v>
          </cell>
          <cell r="C93" t="str">
            <v>SEA</v>
          </cell>
          <cell r="D93" t="str">
            <v>WR</v>
          </cell>
          <cell r="E93">
            <v>122.1</v>
          </cell>
          <cell r="F93">
            <v>8</v>
          </cell>
          <cell r="G93">
            <v>194</v>
          </cell>
        </row>
        <row r="94">
          <cell r="B94" t="str">
            <v>Kaleb Johnson</v>
          </cell>
          <cell r="C94" t="str">
            <v>PIT</v>
          </cell>
          <cell r="D94" t="str">
            <v>RB</v>
          </cell>
          <cell r="E94">
            <v>108.38</v>
          </cell>
          <cell r="F94">
            <v>5</v>
          </cell>
          <cell r="G94">
            <v>162</v>
          </cell>
        </row>
        <row r="95">
          <cell r="B95" t="str">
            <v>Keon Coleman</v>
          </cell>
          <cell r="C95" t="str">
            <v>BUF</v>
          </cell>
          <cell r="D95" t="str">
            <v>WR</v>
          </cell>
          <cell r="E95">
            <v>131.03</v>
          </cell>
          <cell r="F95">
            <v>7</v>
          </cell>
          <cell r="G95">
            <v>164</v>
          </cell>
        </row>
        <row r="96">
          <cell r="B96" t="str">
            <v>Bo Nix</v>
          </cell>
          <cell r="C96" t="str">
            <v>DEN</v>
          </cell>
          <cell r="D96" t="str">
            <v>QB</v>
          </cell>
          <cell r="E96">
            <v>83.14</v>
          </cell>
          <cell r="F96">
            <v>12</v>
          </cell>
          <cell r="G96">
            <v>296</v>
          </cell>
        </row>
        <row r="97">
          <cell r="B97" t="str">
            <v>Travis Etienne Jr</v>
          </cell>
          <cell r="C97" t="str">
            <v>JAX</v>
          </cell>
          <cell r="D97" t="str">
            <v>RB</v>
          </cell>
          <cell r="E97">
            <v>110.33</v>
          </cell>
          <cell r="F97">
            <v>8</v>
          </cell>
          <cell r="G97">
            <v>148</v>
          </cell>
        </row>
        <row r="98">
          <cell r="B98" t="str">
            <v>Jake Ferguson</v>
          </cell>
          <cell r="C98" t="str">
            <v>DAL</v>
          </cell>
          <cell r="D98" t="str">
            <v>TE</v>
          </cell>
          <cell r="E98">
            <v>104.25</v>
          </cell>
          <cell r="F98">
            <v>10</v>
          </cell>
          <cell r="G98">
            <v>148</v>
          </cell>
        </row>
        <row r="99">
          <cell r="B99" t="str">
            <v>Tyler Warren</v>
          </cell>
          <cell r="C99" t="str">
            <v>IND</v>
          </cell>
          <cell r="D99" t="str">
            <v>TE</v>
          </cell>
          <cell r="E99">
            <v>86.75</v>
          </cell>
          <cell r="F99">
            <v>11</v>
          </cell>
          <cell r="G99">
            <v>159</v>
          </cell>
        </row>
        <row r="100">
          <cell r="B100" t="str">
            <v>Jacory Croskey-Merritt</v>
          </cell>
          <cell r="C100" t="str">
            <v>WSH</v>
          </cell>
          <cell r="D100" t="str">
            <v>RB</v>
          </cell>
          <cell r="E100">
            <v>114.95</v>
          </cell>
          <cell r="F100">
            <v>12</v>
          </cell>
          <cell r="G100">
            <v>143</v>
          </cell>
        </row>
        <row r="101">
          <cell r="B101" t="str">
            <v>Zach Charbonnet</v>
          </cell>
          <cell r="C101" t="str">
            <v>SEA</v>
          </cell>
          <cell r="D101" t="str">
            <v>RB</v>
          </cell>
          <cell r="E101">
            <v>122.97</v>
          </cell>
          <cell r="F101">
            <v>8</v>
          </cell>
          <cell r="G101">
            <v>163</v>
          </cell>
        </row>
        <row r="102">
          <cell r="B102" t="str">
            <v>Colston Loveland</v>
          </cell>
          <cell r="C102" t="str">
            <v>CHI</v>
          </cell>
          <cell r="D102" t="str">
            <v>TE</v>
          </cell>
          <cell r="E102">
            <v>131.22999999999999</v>
          </cell>
          <cell r="F102">
            <v>5</v>
          </cell>
          <cell r="G102">
            <v>126</v>
          </cell>
        </row>
        <row r="103">
          <cell r="B103" t="str">
            <v>Caleb Williams</v>
          </cell>
          <cell r="C103" t="str">
            <v>CHI</v>
          </cell>
          <cell r="D103" t="str">
            <v>QB</v>
          </cell>
          <cell r="E103">
            <v>115.75</v>
          </cell>
          <cell r="F103">
            <v>5</v>
          </cell>
          <cell r="G103">
            <v>270</v>
          </cell>
        </row>
        <row r="104">
          <cell r="B104" t="str">
            <v>David Njoku</v>
          </cell>
          <cell r="C104" t="str">
            <v>CLE</v>
          </cell>
          <cell r="D104" t="str">
            <v>TE</v>
          </cell>
          <cell r="E104">
            <v>96.49</v>
          </cell>
          <cell r="F104">
            <v>9</v>
          </cell>
          <cell r="G104">
            <v>173</v>
          </cell>
        </row>
        <row r="105">
          <cell r="B105" t="str">
            <v>Dak Prescott</v>
          </cell>
          <cell r="C105" t="str">
            <v>DAL</v>
          </cell>
          <cell r="D105" t="str">
            <v>QB</v>
          </cell>
          <cell r="E105">
            <v>100.45</v>
          </cell>
          <cell r="F105">
            <v>10</v>
          </cell>
          <cell r="G105">
            <v>268</v>
          </cell>
        </row>
        <row r="106">
          <cell r="B106" t="str">
            <v>Drake Maye</v>
          </cell>
          <cell r="C106" t="str">
            <v>NE</v>
          </cell>
          <cell r="D106" t="str">
            <v>QB</v>
          </cell>
          <cell r="E106">
            <v>83.11</v>
          </cell>
          <cell r="F106">
            <v>14</v>
          </cell>
          <cell r="G106">
            <v>262</v>
          </cell>
        </row>
        <row r="107">
          <cell r="B107" t="str">
            <v>Dalton Kincaid</v>
          </cell>
          <cell r="C107" t="str">
            <v>BUF</v>
          </cell>
          <cell r="D107" t="str">
            <v>TE</v>
          </cell>
          <cell r="E107">
            <v>131.85</v>
          </cell>
          <cell r="F107">
            <v>7</v>
          </cell>
          <cell r="G107">
            <v>144</v>
          </cell>
        </row>
        <row r="108">
          <cell r="B108" t="str">
            <v>Rashid Shaheed</v>
          </cell>
          <cell r="C108" t="str">
            <v>SEA</v>
          </cell>
          <cell r="D108" t="str">
            <v>WR</v>
          </cell>
          <cell r="E108">
            <v>134.32</v>
          </cell>
          <cell r="F108">
            <v>8</v>
          </cell>
          <cell r="G108">
            <v>168</v>
          </cell>
        </row>
        <row r="109">
          <cell r="B109" t="str">
            <v>Dallas Goedert</v>
          </cell>
          <cell r="C109" t="str">
            <v>PHI</v>
          </cell>
          <cell r="D109" t="str">
            <v>TE</v>
          </cell>
          <cell r="E109">
            <v>114.04</v>
          </cell>
          <cell r="F109">
            <v>9</v>
          </cell>
          <cell r="G109">
            <v>138</v>
          </cell>
        </row>
        <row r="110">
          <cell r="B110" t="str">
            <v>Christian Kirk</v>
          </cell>
          <cell r="C110" t="str">
            <v>HOU</v>
          </cell>
          <cell r="D110" t="str">
            <v>WR</v>
          </cell>
          <cell r="E110">
            <v>150.1</v>
          </cell>
          <cell r="F110">
            <v>6</v>
          </cell>
          <cell r="G110">
            <v>140</v>
          </cell>
        </row>
        <row r="111">
          <cell r="B111" t="str">
            <v>Justin Herbert</v>
          </cell>
          <cell r="C111" t="str">
            <v>LAC</v>
          </cell>
          <cell r="D111" t="str">
            <v>QB</v>
          </cell>
          <cell r="E111">
            <v>97.65</v>
          </cell>
          <cell r="F111">
            <v>12</v>
          </cell>
          <cell r="G111">
            <v>294</v>
          </cell>
        </row>
        <row r="112">
          <cell r="B112" t="str">
            <v>Bhayshul Tuten</v>
          </cell>
          <cell r="C112" t="str">
            <v>JAX</v>
          </cell>
          <cell r="D112" t="str">
            <v>RB</v>
          </cell>
          <cell r="E112">
            <v>139.66</v>
          </cell>
          <cell r="F112">
            <v>8</v>
          </cell>
          <cell r="G112">
            <v>95</v>
          </cell>
        </row>
        <row r="113">
          <cell r="B113" t="str">
            <v>Keenan Allen</v>
          </cell>
          <cell r="C113" t="str">
            <v>LAC</v>
          </cell>
          <cell r="D113" t="str">
            <v>WR</v>
          </cell>
          <cell r="E113">
            <v>125.63</v>
          </cell>
          <cell r="F113">
            <v>12</v>
          </cell>
          <cell r="G113">
            <v>139</v>
          </cell>
        </row>
        <row r="114">
          <cell r="B114" t="str">
            <v>Chris Godwin</v>
          </cell>
          <cell r="C114" t="str">
            <v>TB</v>
          </cell>
          <cell r="D114" t="str">
            <v>WR</v>
          </cell>
          <cell r="E114">
            <v>125.94</v>
          </cell>
          <cell r="F114">
            <v>9</v>
          </cell>
          <cell r="G114">
            <v>178</v>
          </cell>
        </row>
        <row r="115">
          <cell r="B115" t="str">
            <v>Jared Goff</v>
          </cell>
          <cell r="C115" t="str">
            <v>DET</v>
          </cell>
          <cell r="D115" t="str">
            <v>QB</v>
          </cell>
          <cell r="E115">
            <v>125.97</v>
          </cell>
          <cell r="F115">
            <v>8</v>
          </cell>
          <cell r="G115">
            <v>272</v>
          </cell>
        </row>
        <row r="116">
          <cell r="B116" t="str">
            <v>JJ McCarthy</v>
          </cell>
          <cell r="C116" t="str">
            <v>MIN</v>
          </cell>
          <cell r="D116" t="str">
            <v>QB</v>
          </cell>
          <cell r="E116">
            <v>136.91</v>
          </cell>
          <cell r="F116">
            <v>6</v>
          </cell>
          <cell r="G116">
            <v>280</v>
          </cell>
        </row>
        <row r="117">
          <cell r="B117" t="str">
            <v>Jayden Higgins</v>
          </cell>
          <cell r="C117" t="str">
            <v>HOU</v>
          </cell>
          <cell r="D117" t="str">
            <v>WR</v>
          </cell>
          <cell r="E117">
            <v>148.07</v>
          </cell>
          <cell r="F117">
            <v>6</v>
          </cell>
          <cell r="G117">
            <v>142</v>
          </cell>
        </row>
        <row r="118">
          <cell r="B118" t="str">
            <v>Javonte Williams</v>
          </cell>
          <cell r="C118" t="str">
            <v>DAL</v>
          </cell>
          <cell r="D118" t="str">
            <v>RB</v>
          </cell>
          <cell r="E118">
            <v>96.76</v>
          </cell>
          <cell r="F118">
            <v>10</v>
          </cell>
          <cell r="G118">
            <v>154</v>
          </cell>
        </row>
        <row r="119">
          <cell r="B119" t="str">
            <v>Rhamondre Stevenson</v>
          </cell>
          <cell r="C119" t="str">
            <v>NE</v>
          </cell>
          <cell r="D119" t="str">
            <v>RB</v>
          </cell>
          <cell r="E119">
            <v>125.14</v>
          </cell>
          <cell r="F119">
            <v>14</v>
          </cell>
          <cell r="G119">
            <v>141</v>
          </cell>
        </row>
        <row r="120">
          <cell r="B120" t="str">
            <v>Trevor Lawrence</v>
          </cell>
          <cell r="C120" t="str">
            <v>JAX</v>
          </cell>
          <cell r="D120" t="str">
            <v>QB</v>
          </cell>
          <cell r="E120">
            <v>147.25</v>
          </cell>
          <cell r="F120">
            <v>8</v>
          </cell>
          <cell r="G120">
            <v>239</v>
          </cell>
        </row>
        <row r="121">
          <cell r="B121" t="str">
            <v>Jordan Love</v>
          </cell>
          <cell r="C121" t="str">
            <v>GB</v>
          </cell>
          <cell r="D121" t="str">
            <v>QB</v>
          </cell>
          <cell r="E121">
            <v>128.84</v>
          </cell>
          <cell r="F121">
            <v>5</v>
          </cell>
          <cell r="G121">
            <v>272</v>
          </cell>
        </row>
        <row r="122">
          <cell r="B122" t="str">
            <v>Luther Burden III</v>
          </cell>
          <cell r="C122" t="str">
            <v>CHI</v>
          </cell>
          <cell r="D122" t="str">
            <v>WR</v>
          </cell>
          <cell r="E122">
            <v>148.9</v>
          </cell>
          <cell r="F122">
            <v>5</v>
          </cell>
          <cell r="G122">
            <v>122</v>
          </cell>
        </row>
        <row r="123">
          <cell r="B123" t="str">
            <v>CJ Stroud</v>
          </cell>
          <cell r="C123" t="str">
            <v>HOU</v>
          </cell>
          <cell r="D123" t="str">
            <v>QB</v>
          </cell>
          <cell r="E123">
            <v>139.59</v>
          </cell>
          <cell r="F123">
            <v>6</v>
          </cell>
          <cell r="G123">
            <v>258</v>
          </cell>
        </row>
        <row r="124">
          <cell r="B124" t="str">
            <v>Rashod Bateman</v>
          </cell>
          <cell r="C124" t="str">
            <v>BAL</v>
          </cell>
          <cell r="D124" t="str">
            <v>WR</v>
          </cell>
          <cell r="E124">
            <v>148.91999999999999</v>
          </cell>
          <cell r="F124">
            <v>7</v>
          </cell>
          <cell r="G124">
            <v>148</v>
          </cell>
        </row>
        <row r="125">
          <cell r="B125" t="str">
            <v>Kyle Pitts</v>
          </cell>
          <cell r="C125" t="str">
            <v>ATL</v>
          </cell>
          <cell r="D125" t="str">
            <v>TE</v>
          </cell>
          <cell r="E125">
            <v>139.72</v>
          </cell>
          <cell r="F125">
            <v>5</v>
          </cell>
          <cell r="G125">
            <v>138</v>
          </cell>
        </row>
        <row r="126">
          <cell r="B126" t="str">
            <v>Braelon Allen</v>
          </cell>
          <cell r="C126" t="str">
            <v>NYJ</v>
          </cell>
          <cell r="D126" t="str">
            <v>RB</v>
          </cell>
          <cell r="E126">
            <v>135</v>
          </cell>
          <cell r="F126">
            <v>9</v>
          </cell>
          <cell r="G126">
            <v>98</v>
          </cell>
        </row>
        <row r="127">
          <cell r="B127" t="str">
            <v>Jaydon Blue</v>
          </cell>
          <cell r="C127" t="str">
            <v>DAL</v>
          </cell>
          <cell r="D127" t="str">
            <v>RB</v>
          </cell>
          <cell r="E127">
            <v>147.02000000000001</v>
          </cell>
          <cell r="F127">
            <v>10</v>
          </cell>
          <cell r="G127">
            <v>116</v>
          </cell>
        </row>
        <row r="128">
          <cell r="B128" t="str">
            <v>Hollywood Brown</v>
          </cell>
          <cell r="C128" t="str">
            <v>KC</v>
          </cell>
          <cell r="D128" t="str">
            <v>WR</v>
          </cell>
          <cell r="E128">
            <v>143.86000000000001</v>
          </cell>
          <cell r="F128">
            <v>10</v>
          </cell>
          <cell r="G128">
            <v>140</v>
          </cell>
        </row>
        <row r="129">
          <cell r="B129" t="str">
            <v>Joshua Palmer</v>
          </cell>
          <cell r="C129" t="str">
            <v>BUF</v>
          </cell>
          <cell r="D129" t="str">
            <v>WR</v>
          </cell>
          <cell r="E129">
            <v>148.6</v>
          </cell>
          <cell r="F129">
            <v>7</v>
          </cell>
          <cell r="G129">
            <v>119</v>
          </cell>
        </row>
        <row r="130">
          <cell r="B130" t="str">
            <v>Marvin Mims Jr</v>
          </cell>
          <cell r="C130" t="str">
            <v>DEN</v>
          </cell>
          <cell r="D130" t="str">
            <v>WR</v>
          </cell>
          <cell r="E130">
            <v>149.4</v>
          </cell>
          <cell r="F130">
            <v>12</v>
          </cell>
          <cell r="G130">
            <v>154</v>
          </cell>
        </row>
        <row r="131">
          <cell r="B131" t="str">
            <v>Tyjae Spears</v>
          </cell>
          <cell r="C131" t="str">
            <v>TEN</v>
          </cell>
          <cell r="D131" t="str">
            <v>RB</v>
          </cell>
          <cell r="E131">
            <v>150</v>
          </cell>
          <cell r="F131">
            <v>10</v>
          </cell>
          <cell r="G131">
            <v>106</v>
          </cell>
        </row>
        <row r="132">
          <cell r="B132" t="str">
            <v>Tank Bigsby</v>
          </cell>
          <cell r="C132" t="str">
            <v>PHI</v>
          </cell>
          <cell r="D132" t="str">
            <v>RB</v>
          </cell>
          <cell r="E132">
            <v>130.88999999999999</v>
          </cell>
          <cell r="F132">
            <v>9</v>
          </cell>
          <cell r="G132">
            <v>111</v>
          </cell>
        </row>
        <row r="133">
          <cell r="B133" t="str">
            <v>Tyler Allgeier</v>
          </cell>
          <cell r="C133" t="str">
            <v>ATL</v>
          </cell>
          <cell r="D133" t="str">
            <v>RB</v>
          </cell>
          <cell r="E133">
            <v>144.74</v>
          </cell>
          <cell r="F133">
            <v>5</v>
          </cell>
          <cell r="G133">
            <v>107</v>
          </cell>
        </row>
        <row r="134">
          <cell r="B134" t="str">
            <v>Quinshon Judkins</v>
          </cell>
          <cell r="C134" t="str">
            <v>CLE</v>
          </cell>
          <cell r="D134" t="str">
            <v>RB</v>
          </cell>
          <cell r="E134">
            <v>109.81</v>
          </cell>
          <cell r="F134">
            <v>9</v>
          </cell>
          <cell r="G134">
            <v>123</v>
          </cell>
        </row>
        <row r="135">
          <cell r="B135" t="str">
            <v>Romeo Doubs</v>
          </cell>
          <cell r="C135" t="str">
            <v>GB</v>
          </cell>
          <cell r="D135" t="str">
            <v>WR</v>
          </cell>
          <cell r="E135">
            <v>140.34</v>
          </cell>
          <cell r="F135">
            <v>5</v>
          </cell>
          <cell r="G135">
            <v>128</v>
          </cell>
        </row>
        <row r="136">
          <cell r="B136" t="str">
            <v>Brandon Aiyuk</v>
          </cell>
          <cell r="C136" t="str">
            <v>SF</v>
          </cell>
          <cell r="D136" t="str">
            <v>WR</v>
          </cell>
          <cell r="E136">
            <v>148.78</v>
          </cell>
          <cell r="F136">
            <v>14</v>
          </cell>
          <cell r="G136">
            <v>137</v>
          </cell>
        </row>
        <row r="137">
          <cell r="B137" t="str">
            <v>Zach Ertz</v>
          </cell>
          <cell r="C137" t="str">
            <v>WSH</v>
          </cell>
          <cell r="D137" t="str">
            <v>TE</v>
          </cell>
          <cell r="E137">
            <v>143.24</v>
          </cell>
          <cell r="F137">
            <v>12</v>
          </cell>
          <cell r="G137">
            <v>139</v>
          </cell>
        </row>
        <row r="138">
          <cell r="B138" t="str">
            <v>Rachaad White</v>
          </cell>
          <cell r="C138" t="str">
            <v>TB</v>
          </cell>
          <cell r="D138" t="str">
            <v>RB</v>
          </cell>
          <cell r="E138">
            <v>135.76</v>
          </cell>
          <cell r="F138">
            <v>9</v>
          </cell>
          <cell r="G138">
            <v>123</v>
          </cell>
        </row>
        <row r="139">
          <cell r="B139" t="str">
            <v>Tua Tagovailoa</v>
          </cell>
          <cell r="C139" t="str">
            <v>MIA</v>
          </cell>
          <cell r="D139" t="str">
            <v>QB</v>
          </cell>
          <cell r="E139">
            <v>145.02000000000001</v>
          </cell>
          <cell r="F139">
            <v>12</v>
          </cell>
          <cell r="G139">
            <v>248</v>
          </cell>
        </row>
        <row r="140">
          <cell r="B140" t="str">
            <v>Trey Benson</v>
          </cell>
          <cell r="C140" t="str">
            <v>ARI</v>
          </cell>
          <cell r="D140" t="str">
            <v>RB</v>
          </cell>
          <cell r="E140">
            <v>142.25</v>
          </cell>
          <cell r="F140">
            <v>8</v>
          </cell>
          <cell r="G140">
            <v>112</v>
          </cell>
        </row>
        <row r="141">
          <cell r="B141" t="str">
            <v>Cam Ward</v>
          </cell>
          <cell r="C141" t="str">
            <v>TEN</v>
          </cell>
          <cell r="D141" t="str">
            <v>QB</v>
          </cell>
          <cell r="E141">
            <v>146.55000000000001</v>
          </cell>
          <cell r="F141">
            <v>10</v>
          </cell>
          <cell r="G141">
            <v>243</v>
          </cell>
        </row>
        <row r="142">
          <cell r="B142" t="str">
            <v>Dylan Sampson</v>
          </cell>
          <cell r="C142" t="str">
            <v>CLE</v>
          </cell>
          <cell r="D142" t="str">
            <v>RB</v>
          </cell>
          <cell r="E142">
            <v>149.6</v>
          </cell>
          <cell r="F142">
            <v>9</v>
          </cell>
          <cell r="G142">
            <v>113</v>
          </cell>
        </row>
        <row r="143">
          <cell r="B143" t="str">
            <v>Denver Broncos D/ST</v>
          </cell>
          <cell r="C143" t="str">
            <v>DEN</v>
          </cell>
          <cell r="D143" t="str">
            <v>DST</v>
          </cell>
          <cell r="E143">
            <v>90.01</v>
          </cell>
          <cell r="F143">
            <v>12</v>
          </cell>
          <cell r="G143">
            <v>134</v>
          </cell>
        </row>
        <row r="144">
          <cell r="B144" t="str">
            <v>Michael Penix Jr</v>
          </cell>
          <cell r="C144" t="str">
            <v>ATL</v>
          </cell>
          <cell r="D144" t="str">
            <v>QB</v>
          </cell>
          <cell r="E144">
            <v>147.35</v>
          </cell>
          <cell r="F144">
            <v>5</v>
          </cell>
          <cell r="G144">
            <v>258</v>
          </cell>
        </row>
        <row r="145">
          <cell r="B145" t="str">
            <v>Cedric Tillman</v>
          </cell>
          <cell r="C145" t="str">
            <v>CLE</v>
          </cell>
          <cell r="D145" t="str">
            <v>WR</v>
          </cell>
          <cell r="E145">
            <v>167.92</v>
          </cell>
          <cell r="F145">
            <v>9</v>
          </cell>
          <cell r="G145">
            <v>158</v>
          </cell>
        </row>
        <row r="146">
          <cell r="B146" t="str">
            <v>Kyle Williams</v>
          </cell>
          <cell r="C146" t="str">
            <v>NE</v>
          </cell>
          <cell r="D146" t="str">
            <v>WR</v>
          </cell>
          <cell r="E146" t="str">
            <v>Undrafted</v>
          </cell>
          <cell r="F146">
            <v>14</v>
          </cell>
          <cell r="G146">
            <v>92</v>
          </cell>
        </row>
        <row r="147">
          <cell r="B147" t="str">
            <v>Brandon Aubrey</v>
          </cell>
          <cell r="C147" t="str">
            <v>DAL</v>
          </cell>
          <cell r="D147" t="str">
            <v>K</v>
          </cell>
          <cell r="E147">
            <v>95.91</v>
          </cell>
          <cell r="F147">
            <v>10</v>
          </cell>
          <cell r="G147">
            <v>159</v>
          </cell>
        </row>
        <row r="148">
          <cell r="B148" t="str">
            <v>Hunter Henry</v>
          </cell>
          <cell r="C148" t="str">
            <v>NE</v>
          </cell>
          <cell r="D148" t="str">
            <v>TE</v>
          </cell>
          <cell r="E148">
            <v>139.03</v>
          </cell>
          <cell r="F148">
            <v>14</v>
          </cell>
          <cell r="G148">
            <v>131</v>
          </cell>
        </row>
        <row r="149">
          <cell r="B149" t="str">
            <v>Tre Harris</v>
          </cell>
          <cell r="C149" t="str">
            <v>LAC</v>
          </cell>
          <cell r="D149" t="str">
            <v>WR</v>
          </cell>
          <cell r="E149" t="str">
            <v>Undrafted</v>
          </cell>
          <cell r="F149">
            <v>12</v>
          </cell>
          <cell r="G149">
            <v>111</v>
          </cell>
        </row>
        <row r="150">
          <cell r="B150" t="str">
            <v>Adam Thielen</v>
          </cell>
          <cell r="C150" t="str">
            <v>MIN</v>
          </cell>
          <cell r="D150" t="str">
            <v>WR</v>
          </cell>
          <cell r="E150">
            <v>147.55000000000001</v>
          </cell>
          <cell r="F150">
            <v>6</v>
          </cell>
          <cell r="G150">
            <v>119</v>
          </cell>
        </row>
        <row r="151">
          <cell r="B151" t="str">
            <v>Ray Davis</v>
          </cell>
          <cell r="C151" t="str">
            <v>BUF</v>
          </cell>
          <cell r="D151" t="str">
            <v>RB</v>
          </cell>
          <cell r="E151">
            <v>149.19999999999999</v>
          </cell>
          <cell r="F151">
            <v>7</v>
          </cell>
          <cell r="G151">
            <v>97</v>
          </cell>
        </row>
        <row r="152">
          <cell r="B152" t="str">
            <v>Brenton Strange</v>
          </cell>
          <cell r="C152" t="str">
            <v>JAX</v>
          </cell>
          <cell r="D152" t="str">
            <v>TE</v>
          </cell>
          <cell r="E152">
            <v>150.15</v>
          </cell>
          <cell r="F152">
            <v>8</v>
          </cell>
          <cell r="G152">
            <v>132</v>
          </cell>
        </row>
        <row r="153">
          <cell r="B153" t="str">
            <v>Wan'Dale Robinson</v>
          </cell>
          <cell r="C153" t="str">
            <v>NYG</v>
          </cell>
          <cell r="D153" t="str">
            <v>WR</v>
          </cell>
          <cell r="E153">
            <v>132.01</v>
          </cell>
          <cell r="F153">
            <v>14</v>
          </cell>
          <cell r="G153">
            <v>148</v>
          </cell>
        </row>
        <row r="154">
          <cell r="B154" t="str">
            <v>Bryce Young</v>
          </cell>
          <cell r="C154" t="str">
            <v>CAR</v>
          </cell>
          <cell r="D154" t="str">
            <v>QB</v>
          </cell>
          <cell r="E154">
            <v>148.25</v>
          </cell>
          <cell r="F154">
            <v>14</v>
          </cell>
          <cell r="G154">
            <v>243</v>
          </cell>
        </row>
        <row r="155">
          <cell r="B155" t="str">
            <v>Nick Chubb</v>
          </cell>
          <cell r="C155" t="str">
            <v>HOU</v>
          </cell>
          <cell r="D155" t="str">
            <v>RB</v>
          </cell>
          <cell r="E155">
            <v>135.99</v>
          </cell>
          <cell r="F155">
            <v>6</v>
          </cell>
          <cell r="G155">
            <v>103</v>
          </cell>
        </row>
        <row r="156">
          <cell r="B156" t="str">
            <v>Geno Smith</v>
          </cell>
          <cell r="C156" t="str">
            <v>LV</v>
          </cell>
          <cell r="D156" t="str">
            <v>QB</v>
          </cell>
          <cell r="E156">
            <v>146.85</v>
          </cell>
          <cell r="F156">
            <v>8</v>
          </cell>
          <cell r="G156">
            <v>248</v>
          </cell>
        </row>
        <row r="157">
          <cell r="B157" t="str">
            <v>Jonnu Smith</v>
          </cell>
          <cell r="C157" t="str">
            <v>PIT</v>
          </cell>
          <cell r="D157" t="str">
            <v>TE</v>
          </cell>
          <cell r="E157">
            <v>144.6</v>
          </cell>
          <cell r="F157">
            <v>5</v>
          </cell>
          <cell r="G157">
            <v>126</v>
          </cell>
        </row>
        <row r="158">
          <cell r="B158" t="str">
            <v>Chris Rodriguez</v>
          </cell>
          <cell r="C158" t="str">
            <v>WSH</v>
          </cell>
          <cell r="D158" t="str">
            <v>RB</v>
          </cell>
          <cell r="E158" t="str">
            <v>Undrafted</v>
          </cell>
          <cell r="F158">
            <v>12</v>
          </cell>
          <cell r="G158">
            <v>54</v>
          </cell>
        </row>
        <row r="159">
          <cell r="B159" t="str">
            <v>Xavier Legette</v>
          </cell>
          <cell r="C159" t="str">
            <v>CAR</v>
          </cell>
          <cell r="D159" t="str">
            <v>WR</v>
          </cell>
          <cell r="E159">
            <v>136.52000000000001</v>
          </cell>
          <cell r="F159">
            <v>14</v>
          </cell>
          <cell r="G159">
            <v>155</v>
          </cell>
        </row>
        <row r="160">
          <cell r="B160" t="str">
            <v>Pittsburgh Steelers D/ST</v>
          </cell>
          <cell r="C160" t="str">
            <v>PIT</v>
          </cell>
          <cell r="D160" t="str">
            <v>DST</v>
          </cell>
          <cell r="E160">
            <v>107.13</v>
          </cell>
          <cell r="F160">
            <v>5</v>
          </cell>
          <cell r="G160">
            <v>110</v>
          </cell>
        </row>
        <row r="161">
          <cell r="B161" t="str">
            <v>Demario Douglas</v>
          </cell>
          <cell r="C161" t="str">
            <v>NE</v>
          </cell>
          <cell r="D161" t="str">
            <v>WR</v>
          </cell>
          <cell r="E161">
            <v>166.67</v>
          </cell>
          <cell r="F161">
            <v>14</v>
          </cell>
          <cell r="G161">
            <v>145</v>
          </cell>
        </row>
        <row r="162">
          <cell r="B162" t="str">
            <v>Dyami Brown</v>
          </cell>
          <cell r="C162" t="str">
            <v>JAX</v>
          </cell>
          <cell r="D162" t="str">
            <v>WR</v>
          </cell>
          <cell r="E162" t="str">
            <v>Undrafted</v>
          </cell>
          <cell r="F162">
            <v>8</v>
          </cell>
          <cell r="G162">
            <v>97</v>
          </cell>
        </row>
        <row r="163">
          <cell r="B163" t="str">
            <v>Brian Robinson</v>
          </cell>
          <cell r="C163" t="str">
            <v>SF</v>
          </cell>
          <cell r="D163" t="str">
            <v>RB</v>
          </cell>
          <cell r="E163">
            <v>132.58000000000001</v>
          </cell>
          <cell r="F163">
            <v>14</v>
          </cell>
          <cell r="G163">
            <v>77</v>
          </cell>
        </row>
        <row r="164">
          <cell r="B164" t="str">
            <v>Isaiah Likely</v>
          </cell>
          <cell r="C164" t="str">
            <v>BAL</v>
          </cell>
          <cell r="D164" t="str">
            <v>TE</v>
          </cell>
          <cell r="E164">
            <v>149.15</v>
          </cell>
          <cell r="F164">
            <v>7</v>
          </cell>
          <cell r="G164">
            <v>110</v>
          </cell>
        </row>
        <row r="165">
          <cell r="B165" t="str">
            <v>Dont'e Thornton Jr</v>
          </cell>
          <cell r="C165" t="str">
            <v>LV</v>
          </cell>
          <cell r="D165" t="str">
            <v>WR</v>
          </cell>
          <cell r="E165" t="str">
            <v>Undrafted</v>
          </cell>
          <cell r="F165">
            <v>8</v>
          </cell>
          <cell r="G165">
            <v>71</v>
          </cell>
        </row>
        <row r="166">
          <cell r="B166" t="str">
            <v>Rico Dowdle</v>
          </cell>
          <cell r="C166" t="str">
            <v>CAR</v>
          </cell>
          <cell r="D166" t="str">
            <v>RB</v>
          </cell>
          <cell r="E166">
            <v>93.67</v>
          </cell>
          <cell r="F166">
            <v>14</v>
          </cell>
          <cell r="G166">
            <v>94</v>
          </cell>
        </row>
        <row r="167">
          <cell r="B167" t="str">
            <v>Roschon Johnson</v>
          </cell>
          <cell r="C167" t="str">
            <v>CHI</v>
          </cell>
          <cell r="D167" t="str">
            <v>RB</v>
          </cell>
          <cell r="E167" t="str">
            <v>Undrafted</v>
          </cell>
          <cell r="F167">
            <v>5</v>
          </cell>
          <cell r="G167">
            <v>78</v>
          </cell>
        </row>
        <row r="168">
          <cell r="B168" t="str">
            <v>Jalen Coker</v>
          </cell>
          <cell r="C168" t="str">
            <v>CAR</v>
          </cell>
          <cell r="D168" t="str">
            <v>WR</v>
          </cell>
          <cell r="E168" t="str">
            <v>Undrafted</v>
          </cell>
          <cell r="F168">
            <v>14</v>
          </cell>
          <cell r="G168">
            <v>112</v>
          </cell>
        </row>
        <row r="169">
          <cell r="B169" t="str">
            <v>Baltimore Ravens D/ST</v>
          </cell>
          <cell r="C169" t="str">
            <v>BAL</v>
          </cell>
          <cell r="D169" t="str">
            <v>DST</v>
          </cell>
          <cell r="E169">
            <v>120.66</v>
          </cell>
          <cell r="F169">
            <v>7</v>
          </cell>
          <cell r="G169">
            <v>124</v>
          </cell>
        </row>
        <row r="170">
          <cell r="B170" t="str">
            <v>Cade Otton</v>
          </cell>
          <cell r="C170" t="str">
            <v>TB</v>
          </cell>
          <cell r="D170" t="str">
            <v>TE</v>
          </cell>
          <cell r="E170">
            <v>145.1</v>
          </cell>
          <cell r="F170">
            <v>9</v>
          </cell>
          <cell r="G170">
            <v>130</v>
          </cell>
        </row>
        <row r="171">
          <cell r="B171" t="str">
            <v>Philadelphia Eagles D/ST</v>
          </cell>
          <cell r="C171" t="str">
            <v>PHI</v>
          </cell>
          <cell r="D171" t="str">
            <v>DST</v>
          </cell>
          <cell r="E171">
            <v>120.18</v>
          </cell>
          <cell r="F171">
            <v>9</v>
          </cell>
          <cell r="G171">
            <v>94</v>
          </cell>
        </row>
        <row r="172">
          <cell r="B172" t="str">
            <v>Keaton Mitchell</v>
          </cell>
          <cell r="C172" t="str">
            <v>BAL</v>
          </cell>
          <cell r="D172" t="str">
            <v>RB</v>
          </cell>
          <cell r="E172" t="str">
            <v>Undrafted</v>
          </cell>
          <cell r="F172">
            <v>7</v>
          </cell>
          <cell r="G172">
            <v>56</v>
          </cell>
        </row>
        <row r="173">
          <cell r="B173" t="str">
            <v>Mike Gesicki</v>
          </cell>
          <cell r="C173" t="str">
            <v>CIN</v>
          </cell>
          <cell r="D173" t="str">
            <v>TE</v>
          </cell>
          <cell r="E173">
            <v>147.80000000000001</v>
          </cell>
          <cell r="F173">
            <v>10</v>
          </cell>
          <cell r="G173">
            <v>122</v>
          </cell>
        </row>
        <row r="174">
          <cell r="B174" t="str">
            <v>Will Shipley</v>
          </cell>
          <cell r="C174" t="str">
            <v>PHI</v>
          </cell>
          <cell r="D174" t="str">
            <v>RB</v>
          </cell>
          <cell r="E174" t="str">
            <v>Undrafted</v>
          </cell>
          <cell r="F174">
            <v>9</v>
          </cell>
          <cell r="G174">
            <v>42</v>
          </cell>
        </row>
        <row r="175">
          <cell r="B175" t="str">
            <v>Jake Bates</v>
          </cell>
          <cell r="C175" t="str">
            <v>DET</v>
          </cell>
          <cell r="D175" t="str">
            <v>K</v>
          </cell>
          <cell r="E175">
            <v>114.98</v>
          </cell>
          <cell r="F175">
            <v>8</v>
          </cell>
          <cell r="G175">
            <v>140</v>
          </cell>
        </row>
        <row r="176">
          <cell r="B176" t="str">
            <v>Tory Horton</v>
          </cell>
          <cell r="C176" t="str">
            <v>SEA</v>
          </cell>
          <cell r="D176" t="str">
            <v>WR</v>
          </cell>
          <cell r="E176" t="str">
            <v>Undrafted</v>
          </cell>
          <cell r="F176">
            <v>8</v>
          </cell>
          <cell r="G176">
            <v>94</v>
          </cell>
        </row>
        <row r="177">
          <cell r="B177" t="str">
            <v>Chigoziem Okonkwo</v>
          </cell>
          <cell r="C177" t="str">
            <v>TEN</v>
          </cell>
          <cell r="D177" t="str">
            <v>TE</v>
          </cell>
          <cell r="E177">
            <v>146.19999999999999</v>
          </cell>
          <cell r="F177">
            <v>10</v>
          </cell>
          <cell r="G177">
            <v>124</v>
          </cell>
        </row>
        <row r="178">
          <cell r="B178" t="str">
            <v>Matthew Stafford</v>
          </cell>
          <cell r="C178" t="str">
            <v>LAR</v>
          </cell>
          <cell r="D178" t="str">
            <v>QB</v>
          </cell>
          <cell r="E178">
            <v>116.23</v>
          </cell>
          <cell r="F178">
            <v>8</v>
          </cell>
          <cell r="G178">
            <v>243</v>
          </cell>
        </row>
        <row r="179">
          <cell r="B179" t="str">
            <v>Ray-Ray McCloud</v>
          </cell>
          <cell r="C179" t="str">
            <v>N/A</v>
          </cell>
          <cell r="D179" t="str">
            <v>WR</v>
          </cell>
          <cell r="E179" t="str">
            <v>Undrafted</v>
          </cell>
          <cell r="G179">
            <v>111</v>
          </cell>
        </row>
        <row r="180">
          <cell r="B180" t="str">
            <v>Alec Pierce</v>
          </cell>
          <cell r="C180" t="str">
            <v>IND</v>
          </cell>
          <cell r="D180" t="str">
            <v>WR</v>
          </cell>
          <cell r="E180">
            <v>160.80000000000001</v>
          </cell>
          <cell r="F180">
            <v>11</v>
          </cell>
          <cell r="G180">
            <v>105</v>
          </cell>
        </row>
        <row r="181">
          <cell r="B181" t="str">
            <v>Sam Darnold</v>
          </cell>
          <cell r="C181" t="str">
            <v>SEA</v>
          </cell>
          <cell r="D181" t="str">
            <v>QB</v>
          </cell>
          <cell r="E181">
            <v>138.13999999999999</v>
          </cell>
          <cell r="F181">
            <v>8</v>
          </cell>
          <cell r="G181">
            <v>233</v>
          </cell>
        </row>
        <row r="182">
          <cell r="B182" t="str">
            <v>Michael Wilson</v>
          </cell>
          <cell r="C182" t="str">
            <v>ARI</v>
          </cell>
          <cell r="D182" t="str">
            <v>WR</v>
          </cell>
          <cell r="E182" t="str">
            <v>Undrafted</v>
          </cell>
          <cell r="F182">
            <v>8</v>
          </cell>
          <cell r="G182">
            <v>120</v>
          </cell>
        </row>
        <row r="183">
          <cell r="B183" t="str">
            <v>Jerome Ford</v>
          </cell>
          <cell r="C183" t="str">
            <v>CLE</v>
          </cell>
          <cell r="D183" t="str">
            <v>RB</v>
          </cell>
          <cell r="E183">
            <v>143.43</v>
          </cell>
          <cell r="F183">
            <v>9</v>
          </cell>
          <cell r="G183">
            <v>137</v>
          </cell>
        </row>
        <row r="184">
          <cell r="B184" t="str">
            <v>Woody Marks</v>
          </cell>
          <cell r="C184" t="str">
            <v>HOU</v>
          </cell>
          <cell r="D184" t="str">
            <v>RB</v>
          </cell>
          <cell r="E184">
            <v>138.15</v>
          </cell>
          <cell r="F184">
            <v>6</v>
          </cell>
          <cell r="G184">
            <v>66</v>
          </cell>
        </row>
        <row r="185">
          <cell r="B185" t="str">
            <v>Blake Corum</v>
          </cell>
          <cell r="C185" t="str">
            <v>LAR</v>
          </cell>
          <cell r="D185" t="str">
            <v>RB</v>
          </cell>
          <cell r="E185" t="str">
            <v>Undrafted</v>
          </cell>
          <cell r="F185">
            <v>8</v>
          </cell>
          <cell r="G185">
            <v>68</v>
          </cell>
        </row>
        <row r="186">
          <cell r="B186" t="str">
            <v>Daniel Jones</v>
          </cell>
          <cell r="C186" t="str">
            <v>IND</v>
          </cell>
          <cell r="D186" t="str">
            <v>QB</v>
          </cell>
          <cell r="E186">
            <v>122.24</v>
          </cell>
          <cell r="F186">
            <v>11</v>
          </cell>
          <cell r="G186">
            <v>221</v>
          </cell>
        </row>
        <row r="187">
          <cell r="B187" t="str">
            <v>Isaac Guerendo</v>
          </cell>
          <cell r="C187" t="str">
            <v>SF</v>
          </cell>
          <cell r="D187" t="str">
            <v>RB</v>
          </cell>
          <cell r="E187">
            <v>149</v>
          </cell>
          <cell r="F187">
            <v>14</v>
          </cell>
          <cell r="G187">
            <v>42</v>
          </cell>
        </row>
        <row r="188">
          <cell r="B188" t="str">
            <v>Jaylin Noel</v>
          </cell>
          <cell r="C188" t="str">
            <v>HOU</v>
          </cell>
          <cell r="D188" t="str">
            <v>WR</v>
          </cell>
          <cell r="E188" t="str">
            <v>Undrafted</v>
          </cell>
          <cell r="F188">
            <v>6</v>
          </cell>
          <cell r="G188">
            <v>59</v>
          </cell>
        </row>
        <row r="189">
          <cell r="B189" t="str">
            <v>Kayshon Boutte</v>
          </cell>
          <cell r="C189" t="str">
            <v>NE</v>
          </cell>
          <cell r="D189" t="str">
            <v>WR</v>
          </cell>
          <cell r="E189" t="str">
            <v>Undrafted</v>
          </cell>
          <cell r="F189">
            <v>14</v>
          </cell>
          <cell r="G189">
            <v>82</v>
          </cell>
        </row>
        <row r="190">
          <cell r="B190" t="str">
            <v>Dalton Schultz</v>
          </cell>
          <cell r="C190" t="str">
            <v>HOU</v>
          </cell>
          <cell r="D190" t="str">
            <v>TE</v>
          </cell>
          <cell r="E190">
            <v>144.76</v>
          </cell>
          <cell r="F190">
            <v>6</v>
          </cell>
          <cell r="G190">
            <v>120</v>
          </cell>
        </row>
        <row r="191">
          <cell r="B191" t="str">
            <v>DeAndre Hopkins</v>
          </cell>
          <cell r="C191" t="str">
            <v>BAL</v>
          </cell>
          <cell r="D191" t="str">
            <v>WR</v>
          </cell>
          <cell r="E191">
            <v>145.47999999999999</v>
          </cell>
          <cell r="F191">
            <v>7</v>
          </cell>
          <cell r="G191">
            <v>101</v>
          </cell>
        </row>
        <row r="192">
          <cell r="B192" t="str">
            <v>Ollie Gordon II</v>
          </cell>
          <cell r="C192" t="str">
            <v>MIA</v>
          </cell>
          <cell r="D192" t="str">
            <v>RB</v>
          </cell>
          <cell r="E192">
            <v>148.44999999999999</v>
          </cell>
          <cell r="F192">
            <v>12</v>
          </cell>
          <cell r="G192">
            <v>76</v>
          </cell>
        </row>
        <row r="193">
          <cell r="B193" t="str">
            <v>Darren Waller</v>
          </cell>
          <cell r="C193" t="str">
            <v>MIA</v>
          </cell>
          <cell r="D193" t="str">
            <v>TE</v>
          </cell>
          <cell r="E193">
            <v>148.05000000000001</v>
          </cell>
          <cell r="F193">
            <v>12</v>
          </cell>
          <cell r="G193">
            <v>116</v>
          </cell>
        </row>
        <row r="194">
          <cell r="B194" t="str">
            <v>DJ Giddens</v>
          </cell>
          <cell r="C194" t="str">
            <v>IND</v>
          </cell>
          <cell r="D194" t="str">
            <v>RB</v>
          </cell>
          <cell r="E194" t="str">
            <v>Undrafted</v>
          </cell>
          <cell r="F194">
            <v>11</v>
          </cell>
          <cell r="G194">
            <v>34</v>
          </cell>
        </row>
        <row r="195">
          <cell r="B195" t="str">
            <v>Darius Slayton</v>
          </cell>
          <cell r="C195" t="str">
            <v>NYG</v>
          </cell>
          <cell r="D195" t="str">
            <v>WR</v>
          </cell>
          <cell r="E195" t="str">
            <v>Undrafted</v>
          </cell>
          <cell r="F195">
            <v>14</v>
          </cell>
          <cell r="G195">
            <v>96</v>
          </cell>
        </row>
        <row r="196">
          <cell r="B196" t="str">
            <v>Aaron Rodgers</v>
          </cell>
          <cell r="C196" t="str">
            <v>PIT</v>
          </cell>
          <cell r="D196" t="str">
            <v>QB</v>
          </cell>
          <cell r="E196">
            <v>142.4</v>
          </cell>
          <cell r="F196">
            <v>5</v>
          </cell>
          <cell r="G196">
            <v>222</v>
          </cell>
        </row>
        <row r="197">
          <cell r="B197" t="str">
            <v>Andrei Iosivas</v>
          </cell>
          <cell r="C197" t="str">
            <v>CIN</v>
          </cell>
          <cell r="D197" t="str">
            <v>WR</v>
          </cell>
          <cell r="E197" t="str">
            <v>Undrafted</v>
          </cell>
          <cell r="F197">
            <v>10</v>
          </cell>
          <cell r="G197">
            <v>85</v>
          </cell>
        </row>
        <row r="198">
          <cell r="B198" t="str">
            <v>Cameron Dicker</v>
          </cell>
          <cell r="C198" t="str">
            <v>LAC</v>
          </cell>
          <cell r="D198" t="str">
            <v>K</v>
          </cell>
          <cell r="E198">
            <v>109.28</v>
          </cell>
          <cell r="F198">
            <v>12</v>
          </cell>
          <cell r="G198">
            <v>149</v>
          </cell>
        </row>
        <row r="199">
          <cell r="B199" t="str">
            <v>Jordan Whittington</v>
          </cell>
          <cell r="C199" t="str">
            <v>LAR</v>
          </cell>
          <cell r="D199" t="str">
            <v>WR</v>
          </cell>
          <cell r="E199" t="str">
            <v>Undrafted</v>
          </cell>
          <cell r="F199">
            <v>8</v>
          </cell>
          <cell r="G199">
            <v>84</v>
          </cell>
        </row>
        <row r="200">
          <cell r="B200" t="str">
            <v>Mason Taylor</v>
          </cell>
          <cell r="C200" t="str">
            <v>NYJ</v>
          </cell>
          <cell r="D200" t="str">
            <v>TE</v>
          </cell>
          <cell r="E200">
            <v>150.4</v>
          </cell>
          <cell r="F200">
            <v>9</v>
          </cell>
          <cell r="G200">
            <v>106</v>
          </cell>
        </row>
        <row r="201">
          <cell r="B201" t="str">
            <v>Troy Franklin</v>
          </cell>
          <cell r="C201" t="str">
            <v>DEN</v>
          </cell>
          <cell r="D201" t="str">
            <v>WR</v>
          </cell>
          <cell r="E201">
            <v>162.13</v>
          </cell>
          <cell r="F201">
            <v>12</v>
          </cell>
          <cell r="G201">
            <v>90</v>
          </cell>
        </row>
        <row r="202">
          <cell r="B202" t="str">
            <v>Adonai Mitchell</v>
          </cell>
          <cell r="C202" t="str">
            <v>NYJ</v>
          </cell>
          <cell r="D202" t="str">
            <v>WR</v>
          </cell>
          <cell r="E202" t="str">
            <v>Undrafted</v>
          </cell>
          <cell r="F202">
            <v>9</v>
          </cell>
          <cell r="G202">
            <v>77</v>
          </cell>
        </row>
        <row r="203">
          <cell r="B203" t="str">
            <v>Jarquez Hunter</v>
          </cell>
          <cell r="C203" t="str">
            <v>LAR</v>
          </cell>
          <cell r="D203" t="str">
            <v>RB</v>
          </cell>
          <cell r="E203" t="str">
            <v>Undrafted</v>
          </cell>
          <cell r="F203">
            <v>8</v>
          </cell>
          <cell r="G203">
            <v>51</v>
          </cell>
        </row>
        <row r="204">
          <cell r="B204" t="str">
            <v>Pat Freiermuth</v>
          </cell>
          <cell r="C204" t="str">
            <v>PIT</v>
          </cell>
          <cell r="D204" t="str">
            <v>TE</v>
          </cell>
          <cell r="E204">
            <v>147.35</v>
          </cell>
          <cell r="F204">
            <v>5</v>
          </cell>
          <cell r="G204">
            <v>121</v>
          </cell>
        </row>
        <row r="205">
          <cell r="B205" t="str">
            <v>Isaac TeSlaa</v>
          </cell>
          <cell r="C205" t="str">
            <v>DET</v>
          </cell>
          <cell r="D205" t="str">
            <v>WR</v>
          </cell>
          <cell r="E205" t="str">
            <v>Undrafted</v>
          </cell>
          <cell r="F205">
            <v>8</v>
          </cell>
          <cell r="G205">
            <v>55</v>
          </cell>
        </row>
        <row r="206">
          <cell r="B206" t="str">
            <v>San Francisco 49ers D/ST</v>
          </cell>
          <cell r="C206" t="str">
            <v>SF</v>
          </cell>
          <cell r="D206" t="str">
            <v>DST</v>
          </cell>
          <cell r="E206">
            <v>150.5</v>
          </cell>
          <cell r="F206">
            <v>14</v>
          </cell>
          <cell r="G206">
            <v>90</v>
          </cell>
        </row>
        <row r="207">
          <cell r="B207" t="str">
            <v>Olamide Zaccheaus</v>
          </cell>
          <cell r="C207" t="str">
            <v>CHI</v>
          </cell>
          <cell r="D207" t="str">
            <v>WR</v>
          </cell>
          <cell r="E207" t="str">
            <v>Undrafted</v>
          </cell>
          <cell r="F207">
            <v>5</v>
          </cell>
          <cell r="G207">
            <v>34</v>
          </cell>
        </row>
        <row r="208">
          <cell r="B208" t="str">
            <v>Chris Boswell</v>
          </cell>
          <cell r="C208" t="str">
            <v>PIT</v>
          </cell>
          <cell r="D208" t="str">
            <v>K</v>
          </cell>
          <cell r="E208">
            <v>134.32</v>
          </cell>
          <cell r="F208">
            <v>5</v>
          </cell>
          <cell r="G208">
            <v>147</v>
          </cell>
        </row>
        <row r="209">
          <cell r="B209" t="str">
            <v>KeAndre Lambert-Smith</v>
          </cell>
          <cell r="C209" t="str">
            <v>LAC</v>
          </cell>
          <cell r="D209" t="str">
            <v>WR</v>
          </cell>
          <cell r="E209" t="str">
            <v>Undrafted</v>
          </cell>
          <cell r="F209">
            <v>12</v>
          </cell>
          <cell r="G209">
            <v>14</v>
          </cell>
        </row>
        <row r="210">
          <cell r="B210" t="str">
            <v>Joe Mixon</v>
          </cell>
          <cell r="C210" t="str">
            <v>HOU</v>
          </cell>
          <cell r="D210" t="str">
            <v>RB</v>
          </cell>
          <cell r="E210">
            <v>128.9</v>
          </cell>
          <cell r="F210">
            <v>6</v>
          </cell>
          <cell r="G210">
            <v>142</v>
          </cell>
        </row>
        <row r="211">
          <cell r="B211" t="str">
            <v>Pat Bryant</v>
          </cell>
          <cell r="C211" t="str">
            <v>DEN</v>
          </cell>
          <cell r="D211" t="str">
            <v>WR</v>
          </cell>
          <cell r="E211" t="str">
            <v>Undrafted</v>
          </cell>
          <cell r="F211">
            <v>12</v>
          </cell>
          <cell r="G211">
            <v>80</v>
          </cell>
        </row>
        <row r="212">
          <cell r="B212" t="str">
            <v>Minnesota Vikings D/ST</v>
          </cell>
          <cell r="C212" t="str">
            <v>MIN</v>
          </cell>
          <cell r="D212" t="str">
            <v>DST</v>
          </cell>
          <cell r="E212">
            <v>135.53</v>
          </cell>
          <cell r="F212">
            <v>6</v>
          </cell>
          <cell r="G212">
            <v>123</v>
          </cell>
        </row>
        <row r="213">
          <cell r="B213" t="str">
            <v>Jack Bech</v>
          </cell>
          <cell r="C213" t="str">
            <v>LV</v>
          </cell>
          <cell r="D213" t="str">
            <v>WR</v>
          </cell>
          <cell r="E213" t="str">
            <v>Undrafted</v>
          </cell>
          <cell r="F213">
            <v>8</v>
          </cell>
          <cell r="G213">
            <v>55</v>
          </cell>
        </row>
        <row r="214">
          <cell r="B214" t="str">
            <v>Harrison Butker</v>
          </cell>
          <cell r="C214" t="str">
            <v>KC</v>
          </cell>
          <cell r="D214" t="str">
            <v>K</v>
          </cell>
          <cell r="E214">
            <v>143.44</v>
          </cell>
          <cell r="F214">
            <v>10</v>
          </cell>
          <cell r="G214">
            <v>142</v>
          </cell>
        </row>
        <row r="215">
          <cell r="B215" t="str">
            <v>Elijah Arroyo</v>
          </cell>
          <cell r="C215" t="str">
            <v>SEA</v>
          </cell>
          <cell r="D215" t="str">
            <v>TE</v>
          </cell>
          <cell r="E215" t="str">
            <v>Undrafted</v>
          </cell>
          <cell r="F215">
            <v>8</v>
          </cell>
          <cell r="G215">
            <v>94</v>
          </cell>
        </row>
        <row r="216">
          <cell r="B216" t="str">
            <v>KaVontae Turpin</v>
          </cell>
          <cell r="C216" t="str">
            <v>DAL</v>
          </cell>
          <cell r="D216" t="str">
            <v>WR</v>
          </cell>
          <cell r="E216" t="str">
            <v>Undrafted</v>
          </cell>
          <cell r="F216">
            <v>10</v>
          </cell>
          <cell r="G216">
            <v>59</v>
          </cell>
        </row>
        <row r="217">
          <cell r="B217" t="str">
            <v>Tahj Brooks</v>
          </cell>
          <cell r="C217" t="str">
            <v>CIN</v>
          </cell>
          <cell r="D217" t="str">
            <v>RB</v>
          </cell>
          <cell r="E217" t="str">
            <v>Undrafted</v>
          </cell>
          <cell r="F217">
            <v>10</v>
          </cell>
          <cell r="G217">
            <v>45</v>
          </cell>
        </row>
        <row r="218">
          <cell r="B218" t="str">
            <v>Tutu Atwell</v>
          </cell>
          <cell r="C218" t="str">
            <v>LAR</v>
          </cell>
          <cell r="D218" t="str">
            <v>WR</v>
          </cell>
          <cell r="E218" t="str">
            <v>Undrafted</v>
          </cell>
          <cell r="F218">
            <v>8</v>
          </cell>
          <cell r="G218">
            <v>103</v>
          </cell>
        </row>
        <row r="219">
          <cell r="B219" t="str">
            <v>Elijah Moore</v>
          </cell>
          <cell r="C219" t="str">
            <v>BUF</v>
          </cell>
          <cell r="D219" t="str">
            <v>WR</v>
          </cell>
          <cell r="E219" t="str">
            <v>Undrafted</v>
          </cell>
          <cell r="F219">
            <v>7</v>
          </cell>
          <cell r="G219">
            <v>37</v>
          </cell>
        </row>
        <row r="220">
          <cell r="B220" t="str">
            <v>Ja'Tavion Sanders</v>
          </cell>
          <cell r="C220" t="str">
            <v>CAR</v>
          </cell>
          <cell r="D220" t="str">
            <v>TE</v>
          </cell>
          <cell r="E220" t="str">
            <v>Undrafted</v>
          </cell>
          <cell r="F220">
            <v>14</v>
          </cell>
          <cell r="G220">
            <v>99</v>
          </cell>
        </row>
        <row r="221">
          <cell r="B221" t="str">
            <v>Kansas City Chiefs D/ST</v>
          </cell>
          <cell r="C221" t="str">
            <v>KC</v>
          </cell>
          <cell r="D221" t="str">
            <v>DST</v>
          </cell>
          <cell r="E221">
            <v>146.72999999999999</v>
          </cell>
          <cell r="F221">
            <v>10</v>
          </cell>
          <cell r="G221">
            <v>100</v>
          </cell>
        </row>
        <row r="222">
          <cell r="B222" t="str">
            <v>Harold Fannin Jr</v>
          </cell>
          <cell r="C222" t="str">
            <v>CLE</v>
          </cell>
          <cell r="D222" t="str">
            <v>TE</v>
          </cell>
          <cell r="E222">
            <v>145.6</v>
          </cell>
          <cell r="F222">
            <v>9</v>
          </cell>
          <cell r="G222">
            <v>60</v>
          </cell>
        </row>
        <row r="223">
          <cell r="B223" t="str">
            <v>Juwan Johnson</v>
          </cell>
          <cell r="C223" t="str">
            <v>NO</v>
          </cell>
          <cell r="D223" t="str">
            <v>TE</v>
          </cell>
          <cell r="E223">
            <v>130.93</v>
          </cell>
          <cell r="F223">
            <v>11</v>
          </cell>
          <cell r="G223">
            <v>113</v>
          </cell>
        </row>
        <row r="224">
          <cell r="B224" t="str">
            <v>Noah Brown</v>
          </cell>
          <cell r="C224" t="str">
            <v>WSH</v>
          </cell>
          <cell r="D224" t="str">
            <v>WR</v>
          </cell>
          <cell r="E224" t="str">
            <v>Undrafted</v>
          </cell>
          <cell r="F224">
            <v>12</v>
          </cell>
          <cell r="G224">
            <v>90</v>
          </cell>
        </row>
        <row r="225">
          <cell r="B225" t="str">
            <v>Quentin Johnston</v>
          </cell>
          <cell r="C225" t="str">
            <v>LAC</v>
          </cell>
          <cell r="D225" t="str">
            <v>WR</v>
          </cell>
          <cell r="E225">
            <v>124.35</v>
          </cell>
          <cell r="F225">
            <v>12</v>
          </cell>
          <cell r="G225">
            <v>105</v>
          </cell>
        </row>
        <row r="226">
          <cell r="B226" t="str">
            <v>Calvin Austin</v>
          </cell>
          <cell r="C226" t="str">
            <v>PIT</v>
          </cell>
          <cell r="D226" t="str">
            <v>WR</v>
          </cell>
          <cell r="E226" t="str">
            <v>Undrafted</v>
          </cell>
          <cell r="F226">
            <v>5</v>
          </cell>
          <cell r="G226">
            <v>119</v>
          </cell>
        </row>
        <row r="227">
          <cell r="B227" t="str">
            <v>Theo Johnson</v>
          </cell>
          <cell r="C227" t="str">
            <v>NYG</v>
          </cell>
          <cell r="D227" t="str">
            <v>TE</v>
          </cell>
          <cell r="E227">
            <v>166.57</v>
          </cell>
          <cell r="F227">
            <v>14</v>
          </cell>
          <cell r="G227">
            <v>104</v>
          </cell>
        </row>
        <row r="228">
          <cell r="B228" t="str">
            <v>Nick Westbrook-Ikhine</v>
          </cell>
          <cell r="C228" t="str">
            <v>MIA</v>
          </cell>
          <cell r="D228" t="str">
            <v>WR</v>
          </cell>
          <cell r="E228" t="str">
            <v>Undrafted</v>
          </cell>
          <cell r="F228">
            <v>12</v>
          </cell>
          <cell r="G228">
            <v>93</v>
          </cell>
        </row>
        <row r="229">
          <cell r="B229" t="str">
            <v>Raheem Mostert</v>
          </cell>
          <cell r="C229" t="str">
            <v>LV</v>
          </cell>
          <cell r="D229" t="str">
            <v>RB</v>
          </cell>
          <cell r="E229" t="str">
            <v>Undrafted</v>
          </cell>
          <cell r="F229">
            <v>8</v>
          </cell>
          <cell r="G229">
            <v>74</v>
          </cell>
        </row>
        <row r="230">
          <cell r="B230" t="str">
            <v>Brandin Cooks</v>
          </cell>
          <cell r="C230" t="str">
            <v>NO</v>
          </cell>
          <cell r="D230" t="str">
            <v>WR</v>
          </cell>
          <cell r="E230" t="str">
            <v>Undrafted</v>
          </cell>
          <cell r="F230">
            <v>11</v>
          </cell>
          <cell r="G230">
            <v>76</v>
          </cell>
        </row>
        <row r="231">
          <cell r="B231" t="str">
            <v>Justice Hill</v>
          </cell>
          <cell r="C231" t="str">
            <v>BAL</v>
          </cell>
          <cell r="D231" t="str">
            <v>RB</v>
          </cell>
          <cell r="E231" t="str">
            <v>Undrafted</v>
          </cell>
          <cell r="F231">
            <v>7</v>
          </cell>
          <cell r="G231">
            <v>78</v>
          </cell>
        </row>
        <row r="232">
          <cell r="B232" t="str">
            <v>Elic Ayomanor</v>
          </cell>
          <cell r="C232" t="str">
            <v>TEN</v>
          </cell>
          <cell r="D232" t="str">
            <v>WR</v>
          </cell>
          <cell r="E232" t="str">
            <v>Undrafted</v>
          </cell>
          <cell r="F232">
            <v>10</v>
          </cell>
          <cell r="G232">
            <v>79</v>
          </cell>
        </row>
        <row r="233">
          <cell r="B233" t="str">
            <v>Tyler Lockett</v>
          </cell>
          <cell r="C233" t="str">
            <v>LV</v>
          </cell>
          <cell r="D233" t="str">
            <v>WR</v>
          </cell>
          <cell r="E233" t="str">
            <v>Undrafted</v>
          </cell>
          <cell r="F233">
            <v>8</v>
          </cell>
          <cell r="G233">
            <v>127</v>
          </cell>
        </row>
        <row r="234">
          <cell r="B234" t="str">
            <v>Ka'imi Fairbairn</v>
          </cell>
          <cell r="C234" t="str">
            <v>HOU</v>
          </cell>
          <cell r="D234" t="str">
            <v>K</v>
          </cell>
          <cell r="E234">
            <v>149.49</v>
          </cell>
          <cell r="F234">
            <v>6</v>
          </cell>
          <cell r="G234">
            <v>147</v>
          </cell>
        </row>
        <row r="235">
          <cell r="B235" t="str">
            <v>Jaylen Wright</v>
          </cell>
          <cell r="C235" t="str">
            <v>MIA</v>
          </cell>
          <cell r="D235" t="str">
            <v>RB</v>
          </cell>
          <cell r="E235" t="str">
            <v>Undrafted</v>
          </cell>
          <cell r="F235">
            <v>12</v>
          </cell>
          <cell r="G235">
            <v>77</v>
          </cell>
        </row>
        <row r="236">
          <cell r="B236" t="str">
            <v>Dameon Pierce</v>
          </cell>
          <cell r="C236" t="str">
            <v>HOU</v>
          </cell>
          <cell r="D236" t="str">
            <v>RB</v>
          </cell>
          <cell r="E236" t="str">
            <v>Undrafted</v>
          </cell>
          <cell r="F236">
            <v>6</v>
          </cell>
          <cell r="G236">
            <v>36</v>
          </cell>
        </row>
        <row r="237">
          <cell r="B237" t="str">
            <v>Sean Tucker</v>
          </cell>
          <cell r="C237" t="str">
            <v>TB</v>
          </cell>
          <cell r="D237" t="str">
            <v>RB</v>
          </cell>
          <cell r="E237" t="str">
            <v>Undrafted</v>
          </cell>
          <cell r="F237">
            <v>9</v>
          </cell>
          <cell r="G237">
            <v>37</v>
          </cell>
        </row>
        <row r="238">
          <cell r="B238" t="str">
            <v>Malik Washington</v>
          </cell>
          <cell r="C238" t="str">
            <v>MIA</v>
          </cell>
          <cell r="D238" t="str">
            <v>WR</v>
          </cell>
          <cell r="E238" t="str">
            <v>Undrafted</v>
          </cell>
          <cell r="F238">
            <v>12</v>
          </cell>
          <cell r="G238">
            <v>70</v>
          </cell>
        </row>
        <row r="239">
          <cell r="B239" t="str">
            <v>Devaughn Vele</v>
          </cell>
          <cell r="C239" t="str">
            <v>NO</v>
          </cell>
          <cell r="D239" t="str">
            <v>WR</v>
          </cell>
          <cell r="E239" t="str">
            <v>Undrafted</v>
          </cell>
          <cell r="F239">
            <v>11</v>
          </cell>
          <cell r="G239">
            <v>68</v>
          </cell>
        </row>
        <row r="240">
          <cell r="B240" t="str">
            <v>Kyle Monangai</v>
          </cell>
          <cell r="C240" t="str">
            <v>CHI</v>
          </cell>
          <cell r="D240" t="str">
            <v>RB</v>
          </cell>
          <cell r="E240">
            <v>164.55</v>
          </cell>
          <cell r="F240">
            <v>5</v>
          </cell>
          <cell r="G240">
            <v>49</v>
          </cell>
        </row>
        <row r="241">
          <cell r="B241" t="str">
            <v>AJ Barner</v>
          </cell>
          <cell r="C241" t="str">
            <v>SEA</v>
          </cell>
          <cell r="D241" t="str">
            <v>TE</v>
          </cell>
          <cell r="E241" t="str">
            <v>Undrafted</v>
          </cell>
          <cell r="F241">
            <v>8</v>
          </cell>
          <cell r="G241">
            <v>76</v>
          </cell>
        </row>
        <row r="242">
          <cell r="B242" t="str">
            <v>Matt Gay</v>
          </cell>
          <cell r="C242" t="str">
            <v>N/A</v>
          </cell>
          <cell r="D242" t="str">
            <v>K</v>
          </cell>
          <cell r="E242">
            <v>150.79</v>
          </cell>
          <cell r="G242">
            <v>154</v>
          </cell>
        </row>
        <row r="243">
          <cell r="B243" t="str">
            <v>Noah Gray</v>
          </cell>
          <cell r="C243" t="str">
            <v>KC</v>
          </cell>
          <cell r="D243" t="str">
            <v>TE</v>
          </cell>
          <cell r="E243" t="str">
            <v>Undrafted</v>
          </cell>
          <cell r="F243">
            <v>10</v>
          </cell>
          <cell r="G243">
            <v>73</v>
          </cell>
        </row>
        <row r="244">
          <cell r="B244" t="str">
            <v>Jalen Tolbert</v>
          </cell>
          <cell r="C244" t="str">
            <v>DAL</v>
          </cell>
          <cell r="D244" t="str">
            <v>WR</v>
          </cell>
          <cell r="E244" t="str">
            <v>Undrafted</v>
          </cell>
          <cell r="F244">
            <v>10</v>
          </cell>
          <cell r="G244">
            <v>90</v>
          </cell>
        </row>
        <row r="245">
          <cell r="B245" t="str">
            <v>Chase McLaughlin</v>
          </cell>
          <cell r="C245" t="str">
            <v>TB</v>
          </cell>
          <cell r="D245" t="str">
            <v>K</v>
          </cell>
          <cell r="E245">
            <v>128.46</v>
          </cell>
          <cell r="F245">
            <v>9</v>
          </cell>
          <cell r="G245">
            <v>144</v>
          </cell>
        </row>
        <row r="246">
          <cell r="B246" t="str">
            <v>Buffalo Bills D/ST</v>
          </cell>
          <cell r="C246" t="str">
            <v>BUF</v>
          </cell>
          <cell r="D246" t="str">
            <v>DST</v>
          </cell>
          <cell r="E246">
            <v>144.72999999999999</v>
          </cell>
          <cell r="F246">
            <v>7</v>
          </cell>
          <cell r="G246">
            <v>104</v>
          </cell>
        </row>
        <row r="247">
          <cell r="B247" t="str">
            <v>Roman Wilson</v>
          </cell>
          <cell r="C247" t="str">
            <v>PIT</v>
          </cell>
          <cell r="D247" t="str">
            <v>WR</v>
          </cell>
          <cell r="E247" t="str">
            <v>Undrafted</v>
          </cell>
          <cell r="F247">
            <v>5</v>
          </cell>
          <cell r="G247">
            <v>80</v>
          </cell>
        </row>
        <row r="248">
          <cell r="B248" t="str">
            <v>Los Angeles Chargers D/ST</v>
          </cell>
          <cell r="C248" t="str">
            <v>LAC</v>
          </cell>
          <cell r="D248" t="str">
            <v>DST</v>
          </cell>
          <cell r="E248">
            <v>151.49</v>
          </cell>
          <cell r="F248">
            <v>12</v>
          </cell>
          <cell r="G248">
            <v>84</v>
          </cell>
        </row>
        <row r="249">
          <cell r="B249" t="str">
            <v>Arizona Cardinals D/ST</v>
          </cell>
          <cell r="C249" t="str">
            <v>ARI</v>
          </cell>
          <cell r="D249" t="str">
            <v>DST</v>
          </cell>
          <cell r="E249">
            <v>154.94999999999999</v>
          </cell>
          <cell r="F249">
            <v>8</v>
          </cell>
          <cell r="G249">
            <v>102</v>
          </cell>
        </row>
        <row r="250">
          <cell r="B250" t="str">
            <v>Dontayvion Wicks</v>
          </cell>
          <cell r="C250" t="str">
            <v>GB</v>
          </cell>
          <cell r="D250" t="str">
            <v>WR</v>
          </cell>
          <cell r="E250" t="str">
            <v>Undrafted</v>
          </cell>
          <cell r="F250">
            <v>5</v>
          </cell>
          <cell r="G250">
            <v>77</v>
          </cell>
        </row>
        <row r="251">
          <cell r="B251" t="str">
            <v>Amari Cooper</v>
          </cell>
          <cell r="C251" t="str">
            <v>N/A</v>
          </cell>
          <cell r="D251" t="str">
            <v>WR</v>
          </cell>
          <cell r="E251" t="str">
            <v>Undrafted</v>
          </cell>
          <cell r="G251">
            <v>97</v>
          </cell>
        </row>
        <row r="252">
          <cell r="B252" t="str">
            <v>Joe Flacco</v>
          </cell>
          <cell r="C252" t="str">
            <v>CIN</v>
          </cell>
          <cell r="D252" t="str">
            <v>QB</v>
          </cell>
          <cell r="E252">
            <v>165.32</v>
          </cell>
          <cell r="F252">
            <v>10</v>
          </cell>
          <cell r="G252">
            <v>135</v>
          </cell>
        </row>
        <row r="253">
          <cell r="B253" t="str">
            <v>Russell Wilson</v>
          </cell>
          <cell r="C253" t="str">
            <v>NYG</v>
          </cell>
          <cell r="D253" t="str">
            <v>QB</v>
          </cell>
          <cell r="E253" t="str">
            <v>Undrafted</v>
          </cell>
          <cell r="F253">
            <v>14</v>
          </cell>
          <cell r="G253">
            <v>181</v>
          </cell>
        </row>
        <row r="254">
          <cell r="B254" t="str">
            <v>Josh Reynolds</v>
          </cell>
          <cell r="C254" t="str">
            <v>NYJ</v>
          </cell>
          <cell r="D254" t="str">
            <v>WR</v>
          </cell>
          <cell r="E254" t="str">
            <v>Undrafted</v>
          </cell>
          <cell r="F254">
            <v>9</v>
          </cell>
          <cell r="G254">
            <v>101</v>
          </cell>
        </row>
        <row r="255">
          <cell r="B255" t="str">
            <v>Jalen Royals</v>
          </cell>
          <cell r="C255" t="str">
            <v>KC</v>
          </cell>
          <cell r="D255" t="str">
            <v>WR</v>
          </cell>
          <cell r="E255" t="str">
            <v>Undrafted</v>
          </cell>
          <cell r="F255">
            <v>10</v>
          </cell>
          <cell r="G255">
            <v>37</v>
          </cell>
        </row>
        <row r="256">
          <cell r="B256" t="str">
            <v>Will Reichard</v>
          </cell>
          <cell r="C256" t="str">
            <v>MIN</v>
          </cell>
          <cell r="D256" t="str">
            <v>K</v>
          </cell>
          <cell r="E256">
            <v>150.63999999999999</v>
          </cell>
          <cell r="F256">
            <v>6</v>
          </cell>
          <cell r="G256">
            <v>139</v>
          </cell>
        </row>
        <row r="257">
          <cell r="B257" t="str">
            <v>Jaxson Dart</v>
          </cell>
          <cell r="C257" t="str">
            <v>NYG</v>
          </cell>
          <cell r="D257" t="str">
            <v>QB</v>
          </cell>
          <cell r="E257">
            <v>124.62</v>
          </cell>
          <cell r="F257">
            <v>14</v>
          </cell>
          <cell r="G257">
            <v>50</v>
          </cell>
        </row>
        <row r="258">
          <cell r="B258" t="str">
            <v>Tyler Higbee</v>
          </cell>
          <cell r="C258" t="str">
            <v>LAR</v>
          </cell>
          <cell r="D258" t="str">
            <v>TE</v>
          </cell>
          <cell r="E258" t="str">
            <v>Undrafted</v>
          </cell>
          <cell r="F258">
            <v>8</v>
          </cell>
          <cell r="G258">
            <v>100</v>
          </cell>
        </row>
        <row r="259">
          <cell r="B259" t="str">
            <v>Houston Texans D/ST</v>
          </cell>
          <cell r="C259" t="str">
            <v>HOU</v>
          </cell>
          <cell r="D259" t="str">
            <v>DST</v>
          </cell>
          <cell r="E259">
            <v>115.04</v>
          </cell>
          <cell r="F259">
            <v>6</v>
          </cell>
          <cell r="G259">
            <v>103</v>
          </cell>
        </row>
        <row r="260">
          <cell r="B260" t="str">
            <v>Kareem Hunt</v>
          </cell>
          <cell r="C260" t="str">
            <v>KC</v>
          </cell>
          <cell r="D260" t="str">
            <v>RB</v>
          </cell>
          <cell r="E260">
            <v>144.32</v>
          </cell>
          <cell r="F260">
            <v>10</v>
          </cell>
          <cell r="G260">
            <v>92</v>
          </cell>
        </row>
        <row r="261">
          <cell r="B261" t="str">
            <v>Evan McPherson</v>
          </cell>
          <cell r="C261" t="str">
            <v>CIN</v>
          </cell>
          <cell r="D261" t="str">
            <v>K</v>
          </cell>
          <cell r="E261">
            <v>155.55000000000001</v>
          </cell>
          <cell r="F261">
            <v>10</v>
          </cell>
          <cell r="G261">
            <v>151</v>
          </cell>
        </row>
        <row r="262">
          <cell r="B262" t="str">
            <v>Jake Elliott</v>
          </cell>
          <cell r="C262" t="str">
            <v>PHI</v>
          </cell>
          <cell r="D262" t="str">
            <v>K</v>
          </cell>
          <cell r="E262">
            <v>142.26</v>
          </cell>
          <cell r="F262">
            <v>9</v>
          </cell>
          <cell r="G262">
            <v>150</v>
          </cell>
        </row>
        <row r="263">
          <cell r="B263" t="str">
            <v>Tyler Bass</v>
          </cell>
          <cell r="C263" t="str">
            <v>BUF</v>
          </cell>
          <cell r="D263" t="str">
            <v>K</v>
          </cell>
          <cell r="E263">
            <v>144.71</v>
          </cell>
          <cell r="F263">
            <v>7</v>
          </cell>
          <cell r="G263">
            <v>154</v>
          </cell>
        </row>
        <row r="264">
          <cell r="B264" t="str">
            <v>Brashard Smith</v>
          </cell>
          <cell r="C264" t="str">
            <v>KC</v>
          </cell>
          <cell r="D264" t="str">
            <v>RB</v>
          </cell>
          <cell r="E264" t="str">
            <v>Undrafted</v>
          </cell>
          <cell r="F264">
            <v>10</v>
          </cell>
          <cell r="G264">
            <v>35</v>
          </cell>
        </row>
        <row r="265">
          <cell r="B265" t="str">
            <v>Anthony Richardson</v>
          </cell>
          <cell r="C265" t="str">
            <v>IND</v>
          </cell>
          <cell r="D265" t="str">
            <v>QB</v>
          </cell>
          <cell r="E265" t="str">
            <v>Undrafted</v>
          </cell>
          <cell r="F265">
            <v>11</v>
          </cell>
          <cell r="G265">
            <v>51</v>
          </cell>
        </row>
        <row r="266">
          <cell r="B266" t="str">
            <v>Tyler Shough</v>
          </cell>
          <cell r="C266" t="str">
            <v>NO</v>
          </cell>
          <cell r="D266" t="str">
            <v>QB</v>
          </cell>
          <cell r="E266" t="str">
            <v>Undrafted</v>
          </cell>
          <cell r="F266">
            <v>11</v>
          </cell>
          <cell r="G266">
            <v>104</v>
          </cell>
        </row>
        <row r="267">
          <cell r="B267" t="str">
            <v>Will Dissly</v>
          </cell>
          <cell r="C267" t="str">
            <v>LAC</v>
          </cell>
          <cell r="D267" t="str">
            <v>TE</v>
          </cell>
          <cell r="E267" t="str">
            <v>Undrafted</v>
          </cell>
          <cell r="F267">
            <v>12</v>
          </cell>
          <cell r="G267">
            <v>91</v>
          </cell>
        </row>
        <row r="268">
          <cell r="B268" t="str">
            <v>Kendre Miller</v>
          </cell>
          <cell r="C268" t="str">
            <v>NO</v>
          </cell>
          <cell r="D268" t="str">
            <v>RB</v>
          </cell>
          <cell r="E268" t="str">
            <v>Undrafted</v>
          </cell>
          <cell r="F268">
            <v>11</v>
          </cell>
          <cell r="G268">
            <v>79</v>
          </cell>
        </row>
        <row r="269">
          <cell r="B269" t="str">
            <v>Wil Lutz</v>
          </cell>
          <cell r="C269" t="str">
            <v>DEN</v>
          </cell>
          <cell r="D269" t="str">
            <v>K</v>
          </cell>
          <cell r="E269">
            <v>155.05000000000001</v>
          </cell>
          <cell r="F269">
            <v>12</v>
          </cell>
          <cell r="G269">
            <v>141</v>
          </cell>
        </row>
        <row r="270">
          <cell r="B270" t="str">
            <v>Chimere Dike</v>
          </cell>
          <cell r="C270" t="str">
            <v>TEN</v>
          </cell>
          <cell r="D270" t="str">
            <v>WR</v>
          </cell>
          <cell r="E270" t="str">
            <v>Undrafted</v>
          </cell>
          <cell r="F270">
            <v>10</v>
          </cell>
          <cell r="G270">
            <v>51</v>
          </cell>
        </row>
        <row r="271">
          <cell r="B271" t="str">
            <v>Sterling Shepard</v>
          </cell>
          <cell r="C271" t="str">
            <v>TB</v>
          </cell>
          <cell r="D271" t="str">
            <v>WR</v>
          </cell>
          <cell r="E271" t="str">
            <v>Undrafted</v>
          </cell>
          <cell r="F271">
            <v>9</v>
          </cell>
          <cell r="G271">
            <v>15</v>
          </cell>
        </row>
        <row r="272">
          <cell r="B272" t="str">
            <v>Tre Tucker</v>
          </cell>
          <cell r="C272" t="str">
            <v>LV</v>
          </cell>
          <cell r="D272" t="str">
            <v>WR</v>
          </cell>
          <cell r="E272" t="str">
            <v>Undrafted</v>
          </cell>
          <cell r="F272">
            <v>8</v>
          </cell>
          <cell r="G272">
            <v>80</v>
          </cell>
        </row>
        <row r="273">
          <cell r="B273" t="str">
            <v>Parker Washington</v>
          </cell>
          <cell r="C273" t="str">
            <v>JAX</v>
          </cell>
          <cell r="D273" t="str">
            <v>WR</v>
          </cell>
          <cell r="E273" t="str">
            <v>Undrafted</v>
          </cell>
          <cell r="F273">
            <v>8</v>
          </cell>
          <cell r="G273">
            <v>55</v>
          </cell>
        </row>
        <row r="274">
          <cell r="B274" t="str">
            <v>Terrance Ferguson</v>
          </cell>
          <cell r="C274" t="str">
            <v>LAR</v>
          </cell>
          <cell r="D274" t="str">
            <v>TE</v>
          </cell>
          <cell r="E274" t="str">
            <v>Undrafted</v>
          </cell>
          <cell r="F274">
            <v>8</v>
          </cell>
          <cell r="G274">
            <v>49</v>
          </cell>
        </row>
        <row r="275">
          <cell r="B275" t="str">
            <v>Cole Kmet</v>
          </cell>
          <cell r="C275" t="str">
            <v>CHI</v>
          </cell>
          <cell r="D275" t="str">
            <v>TE</v>
          </cell>
          <cell r="E275" t="str">
            <v>Undrafted</v>
          </cell>
          <cell r="F275">
            <v>5</v>
          </cell>
          <cell r="G275">
            <v>70</v>
          </cell>
        </row>
        <row r="276">
          <cell r="B276" t="str">
            <v>AJ Dillon</v>
          </cell>
          <cell r="C276" t="str">
            <v>PHI</v>
          </cell>
          <cell r="D276" t="str">
            <v>RB</v>
          </cell>
          <cell r="E276" t="str">
            <v>Undrafted</v>
          </cell>
          <cell r="F276">
            <v>9</v>
          </cell>
          <cell r="G276">
            <v>27</v>
          </cell>
        </row>
        <row r="277">
          <cell r="B277" t="str">
            <v>Devin Neal</v>
          </cell>
          <cell r="C277" t="str">
            <v>NO</v>
          </cell>
          <cell r="D277" t="str">
            <v>RB</v>
          </cell>
          <cell r="E277" t="str">
            <v>Undrafted</v>
          </cell>
          <cell r="F277">
            <v>11</v>
          </cell>
          <cell r="G277">
            <v>42</v>
          </cell>
        </row>
        <row r="278">
          <cell r="B278" t="str">
            <v>Trevor Etienne</v>
          </cell>
          <cell r="C278" t="str">
            <v>CAR</v>
          </cell>
          <cell r="D278" t="str">
            <v>RB</v>
          </cell>
          <cell r="E278" t="str">
            <v>Undrafted</v>
          </cell>
          <cell r="F278">
            <v>14</v>
          </cell>
          <cell r="G278">
            <v>44</v>
          </cell>
        </row>
        <row r="279">
          <cell r="B279" t="str">
            <v>Detroit Lions D/ST</v>
          </cell>
          <cell r="C279" t="str">
            <v>DET</v>
          </cell>
          <cell r="D279" t="str">
            <v>DST</v>
          </cell>
          <cell r="E279">
            <v>131.96</v>
          </cell>
          <cell r="F279">
            <v>8</v>
          </cell>
          <cell r="G279">
            <v>91</v>
          </cell>
        </row>
        <row r="280">
          <cell r="B280" t="str">
            <v>Younghoe Koo</v>
          </cell>
          <cell r="C280" t="str">
            <v>NYG</v>
          </cell>
          <cell r="D280" t="str">
            <v>K</v>
          </cell>
          <cell r="E280">
            <v>152.05000000000001</v>
          </cell>
          <cell r="F280">
            <v>14</v>
          </cell>
          <cell r="G280">
            <v>130</v>
          </cell>
        </row>
        <row r="281">
          <cell r="B281" t="str">
            <v>Dallas Cowboys D/ST</v>
          </cell>
          <cell r="C281" t="str">
            <v>DAL</v>
          </cell>
          <cell r="D281" t="str">
            <v>DST</v>
          </cell>
          <cell r="E281">
            <v>151.4</v>
          </cell>
          <cell r="F281">
            <v>10</v>
          </cell>
          <cell r="G281">
            <v>101</v>
          </cell>
        </row>
        <row r="282">
          <cell r="B282" t="str">
            <v>Jaylin Lane</v>
          </cell>
          <cell r="C282" t="str">
            <v>WSH</v>
          </cell>
          <cell r="D282" t="str">
            <v>WR</v>
          </cell>
          <cell r="E282" t="str">
            <v>Undrafted</v>
          </cell>
          <cell r="F282">
            <v>12</v>
          </cell>
          <cell r="G282">
            <v>17</v>
          </cell>
        </row>
        <row r="283">
          <cell r="B283" t="str">
            <v>Greg Dortch</v>
          </cell>
          <cell r="C283" t="str">
            <v>ARI</v>
          </cell>
          <cell r="D283" t="str">
            <v>WR</v>
          </cell>
          <cell r="E283" t="str">
            <v>Undrafted</v>
          </cell>
          <cell r="F283">
            <v>8</v>
          </cell>
          <cell r="G283">
            <v>77</v>
          </cell>
        </row>
        <row r="284">
          <cell r="B284" t="str">
            <v>Elijah Mitchell</v>
          </cell>
          <cell r="C284" t="str">
            <v>KC</v>
          </cell>
          <cell r="D284" t="str">
            <v>RB</v>
          </cell>
          <cell r="E284" t="str">
            <v>Undrafted</v>
          </cell>
          <cell r="F284">
            <v>10</v>
          </cell>
          <cell r="G284">
            <v>38</v>
          </cell>
        </row>
        <row r="285">
          <cell r="B285" t="str">
            <v>Chad Ryland</v>
          </cell>
          <cell r="C285" t="str">
            <v>ARI</v>
          </cell>
          <cell r="D285" t="str">
            <v>K</v>
          </cell>
          <cell r="E285" t="str">
            <v>Undrafted</v>
          </cell>
          <cell r="F285">
            <v>8</v>
          </cell>
          <cell r="G285">
            <v>138</v>
          </cell>
        </row>
        <row r="286">
          <cell r="B286" t="str">
            <v>Marshawn Lloyd</v>
          </cell>
          <cell r="C286" t="str">
            <v>GB</v>
          </cell>
          <cell r="D286" t="str">
            <v>RB</v>
          </cell>
          <cell r="E286" t="str">
            <v>Undrafted</v>
          </cell>
          <cell r="F286">
            <v>5</v>
          </cell>
          <cell r="G286">
            <v>67</v>
          </cell>
        </row>
        <row r="287">
          <cell r="B287" t="str">
            <v>Samaje Perine</v>
          </cell>
          <cell r="C287" t="str">
            <v>CIN</v>
          </cell>
          <cell r="D287" t="str">
            <v>RB</v>
          </cell>
          <cell r="E287" t="str">
            <v>Undrafted</v>
          </cell>
          <cell r="F287">
            <v>10</v>
          </cell>
          <cell r="G287">
            <v>64</v>
          </cell>
        </row>
        <row r="288">
          <cell r="B288" t="str">
            <v>New York Giants D/ST</v>
          </cell>
          <cell r="C288" t="str">
            <v>NYG</v>
          </cell>
          <cell r="D288" t="str">
            <v>DST</v>
          </cell>
          <cell r="E288">
            <v>149.65</v>
          </cell>
          <cell r="F288">
            <v>14</v>
          </cell>
          <cell r="G288">
            <v>91</v>
          </cell>
        </row>
        <row r="289">
          <cell r="B289" t="str">
            <v>Zay Jones</v>
          </cell>
          <cell r="C289" t="str">
            <v>ARI</v>
          </cell>
          <cell r="D289" t="str">
            <v>WR</v>
          </cell>
          <cell r="E289" t="str">
            <v>Undrafted</v>
          </cell>
          <cell r="F289">
            <v>8</v>
          </cell>
          <cell r="G289">
            <v>41</v>
          </cell>
        </row>
        <row r="290">
          <cell r="B290" t="str">
            <v>Seattle Seahawks D/ST</v>
          </cell>
          <cell r="C290" t="str">
            <v>SEA</v>
          </cell>
          <cell r="D290" t="str">
            <v>DST</v>
          </cell>
          <cell r="E290">
            <v>119.85</v>
          </cell>
          <cell r="F290">
            <v>8</v>
          </cell>
          <cell r="G290">
            <v>108</v>
          </cell>
        </row>
        <row r="291">
          <cell r="B291" t="str">
            <v>Spencer Rattler</v>
          </cell>
          <cell r="C291" t="str">
            <v>NO</v>
          </cell>
          <cell r="D291" t="str">
            <v>QB</v>
          </cell>
          <cell r="E291" t="str">
            <v>Undrafted</v>
          </cell>
          <cell r="F291">
            <v>11</v>
          </cell>
          <cell r="G291">
            <v>155</v>
          </cell>
        </row>
        <row r="292">
          <cell r="B292" t="str">
            <v>Jalen Nailor</v>
          </cell>
          <cell r="C292" t="str">
            <v>MIN</v>
          </cell>
          <cell r="D292" t="str">
            <v>WR</v>
          </cell>
          <cell r="E292" t="str">
            <v>Undrafted</v>
          </cell>
          <cell r="F292">
            <v>6</v>
          </cell>
          <cell r="G292">
            <v>68</v>
          </cell>
        </row>
        <row r="293">
          <cell r="B293" t="str">
            <v>Tim Patrick</v>
          </cell>
          <cell r="C293" t="str">
            <v>JAX</v>
          </cell>
          <cell r="D293" t="str">
            <v>WR</v>
          </cell>
          <cell r="E293" t="str">
            <v>Undrafted</v>
          </cell>
          <cell r="F293">
            <v>8</v>
          </cell>
          <cell r="G293">
            <v>41</v>
          </cell>
        </row>
        <row r="294">
          <cell r="B294" t="str">
            <v>Emanuel Wilson</v>
          </cell>
          <cell r="C294" t="str">
            <v>GB</v>
          </cell>
          <cell r="D294" t="str">
            <v>RB</v>
          </cell>
          <cell r="E294" t="str">
            <v>Undrafted</v>
          </cell>
          <cell r="F294">
            <v>5</v>
          </cell>
          <cell r="G294">
            <v>40</v>
          </cell>
        </row>
        <row r="295">
          <cell r="B295" t="str">
            <v>New York Jets D/ST</v>
          </cell>
          <cell r="C295" t="str">
            <v>NYJ</v>
          </cell>
          <cell r="D295" t="str">
            <v>DST</v>
          </cell>
          <cell r="E295">
            <v>152.49</v>
          </cell>
          <cell r="F295">
            <v>9</v>
          </cell>
          <cell r="G295">
            <v>104</v>
          </cell>
        </row>
        <row r="296">
          <cell r="B296" t="str">
            <v>Jaleel McLaughlin</v>
          </cell>
          <cell r="C296" t="str">
            <v>DEN</v>
          </cell>
          <cell r="D296" t="str">
            <v>RB</v>
          </cell>
          <cell r="E296" t="str">
            <v>Undrafted</v>
          </cell>
          <cell r="F296">
            <v>12</v>
          </cell>
          <cell r="G296">
            <v>59</v>
          </cell>
        </row>
        <row r="297">
          <cell r="B297" t="str">
            <v>John Metchie</v>
          </cell>
          <cell r="C297" t="str">
            <v>NYJ</v>
          </cell>
          <cell r="D297" t="str">
            <v>WR</v>
          </cell>
          <cell r="E297" t="str">
            <v>Undrafted</v>
          </cell>
          <cell r="F297">
            <v>9</v>
          </cell>
          <cell r="G297">
            <v>12</v>
          </cell>
        </row>
        <row r="298">
          <cell r="B298" t="str">
            <v>Ty Johnson</v>
          </cell>
          <cell r="C298" t="str">
            <v>BUF</v>
          </cell>
          <cell r="D298" t="str">
            <v>RB</v>
          </cell>
          <cell r="E298" t="str">
            <v>Undrafted</v>
          </cell>
          <cell r="F298">
            <v>7</v>
          </cell>
          <cell r="G298">
            <v>77</v>
          </cell>
        </row>
        <row r="299">
          <cell r="B299" t="str">
            <v>Khalil Herbert</v>
          </cell>
          <cell r="C299" t="str">
            <v>NYJ</v>
          </cell>
          <cell r="D299" t="str">
            <v>RB</v>
          </cell>
          <cell r="E299" t="str">
            <v>Undrafted</v>
          </cell>
          <cell r="F299">
            <v>9</v>
          </cell>
          <cell r="G299">
            <v>38</v>
          </cell>
        </row>
        <row r="300">
          <cell r="B300" t="str">
            <v>Jacob Cowing</v>
          </cell>
          <cell r="C300" t="str">
            <v>SF</v>
          </cell>
          <cell r="D300" t="str">
            <v>WR</v>
          </cell>
          <cell r="E300" t="str">
            <v>Undrafted</v>
          </cell>
          <cell r="F300">
            <v>14</v>
          </cell>
          <cell r="G300">
            <v>11</v>
          </cell>
        </row>
        <row r="301">
          <cell r="B301" t="str">
            <v>Oronde Gadsden II</v>
          </cell>
          <cell r="C301" t="str">
            <v>LAC</v>
          </cell>
          <cell r="D301" t="str">
            <v>TE</v>
          </cell>
          <cell r="E301">
            <v>155.88999999999999</v>
          </cell>
          <cell r="F301">
            <v>12</v>
          </cell>
          <cell r="G301">
            <v>43</v>
          </cell>
        </row>
        <row r="302">
          <cell r="B302" t="str">
            <v>Brandon McManus</v>
          </cell>
          <cell r="C302" t="str">
            <v>GB</v>
          </cell>
          <cell r="D302" t="str">
            <v>K</v>
          </cell>
          <cell r="E302">
            <v>149.85</v>
          </cell>
          <cell r="F302">
            <v>5</v>
          </cell>
          <cell r="G302">
            <v>148</v>
          </cell>
        </row>
        <row r="303">
          <cell r="B303" t="str">
            <v>Curtis Samuel</v>
          </cell>
          <cell r="C303" t="str">
            <v>BUF</v>
          </cell>
          <cell r="D303" t="str">
            <v>WR</v>
          </cell>
          <cell r="E303" t="str">
            <v>Undrafted</v>
          </cell>
          <cell r="F303">
            <v>7</v>
          </cell>
          <cell r="G303">
            <v>67</v>
          </cell>
        </row>
        <row r="304">
          <cell r="B304" t="str">
            <v>Devin Singletary</v>
          </cell>
          <cell r="C304" t="str">
            <v>NYG</v>
          </cell>
          <cell r="D304" t="str">
            <v>RB</v>
          </cell>
          <cell r="E304" t="str">
            <v>Undrafted</v>
          </cell>
          <cell r="F304">
            <v>14</v>
          </cell>
          <cell r="G304">
            <v>45</v>
          </cell>
        </row>
        <row r="305">
          <cell r="B305" t="str">
            <v>Ben Sinnott</v>
          </cell>
          <cell r="C305" t="str">
            <v>WSH</v>
          </cell>
          <cell r="D305" t="str">
            <v>TE</v>
          </cell>
          <cell r="E305" t="str">
            <v>Undrafted</v>
          </cell>
          <cell r="F305">
            <v>12</v>
          </cell>
          <cell r="G305">
            <v>38</v>
          </cell>
        </row>
        <row r="306">
          <cell r="B306" t="str">
            <v>Jordan James</v>
          </cell>
          <cell r="C306" t="str">
            <v>SF</v>
          </cell>
          <cell r="D306" t="str">
            <v>RB</v>
          </cell>
          <cell r="E306" t="str">
            <v>Undrafted</v>
          </cell>
          <cell r="F306">
            <v>14</v>
          </cell>
          <cell r="G306">
            <v>9</v>
          </cell>
        </row>
        <row r="307">
          <cell r="B307" t="str">
            <v>Jason Sanders</v>
          </cell>
          <cell r="C307" t="str">
            <v>MIA</v>
          </cell>
          <cell r="D307" t="str">
            <v>K</v>
          </cell>
          <cell r="E307">
            <v>158.15</v>
          </cell>
          <cell r="F307">
            <v>12</v>
          </cell>
          <cell r="G307">
            <v>114</v>
          </cell>
        </row>
        <row r="308">
          <cell r="B308" t="str">
            <v>Cleveland Browns D/ST</v>
          </cell>
          <cell r="C308" t="str">
            <v>CLE</v>
          </cell>
          <cell r="D308" t="str">
            <v>DST</v>
          </cell>
          <cell r="E308">
            <v>152.61000000000001</v>
          </cell>
          <cell r="F308">
            <v>9</v>
          </cell>
          <cell r="G308">
            <v>59</v>
          </cell>
        </row>
        <row r="309">
          <cell r="B309" t="str">
            <v>Kenneth Gainwell</v>
          </cell>
          <cell r="C309" t="str">
            <v>PIT</v>
          </cell>
          <cell r="D309" t="str">
            <v>RB</v>
          </cell>
          <cell r="E309">
            <v>147.35</v>
          </cell>
          <cell r="F309">
            <v>5</v>
          </cell>
          <cell r="G309">
            <v>50</v>
          </cell>
        </row>
        <row r="310">
          <cell r="B310" t="str">
            <v>Joshua Karty</v>
          </cell>
          <cell r="C310" t="str">
            <v>LAR</v>
          </cell>
          <cell r="D310" t="str">
            <v>K</v>
          </cell>
          <cell r="E310">
            <v>150.74</v>
          </cell>
          <cell r="F310">
            <v>8</v>
          </cell>
          <cell r="G310">
            <v>146</v>
          </cell>
        </row>
        <row r="311">
          <cell r="B311" t="str">
            <v>Los Angeles Rams D/ST</v>
          </cell>
          <cell r="C311" t="str">
            <v>LAR</v>
          </cell>
          <cell r="D311" t="str">
            <v>DST</v>
          </cell>
          <cell r="E311">
            <v>150.51</v>
          </cell>
          <cell r="F311">
            <v>8</v>
          </cell>
          <cell r="G311">
            <v>86</v>
          </cell>
        </row>
        <row r="312">
          <cell r="B312" t="str">
            <v>Tyler Loop</v>
          </cell>
          <cell r="C312" t="str">
            <v>BAL</v>
          </cell>
          <cell r="D312" t="str">
            <v>K</v>
          </cell>
          <cell r="E312">
            <v>147.07</v>
          </cell>
          <cell r="F312">
            <v>7</v>
          </cell>
          <cell r="G312">
            <v>145</v>
          </cell>
        </row>
        <row r="313">
          <cell r="B313" t="str">
            <v>Tyler Conklin</v>
          </cell>
          <cell r="C313" t="str">
            <v>LAC</v>
          </cell>
          <cell r="D313" t="str">
            <v>TE</v>
          </cell>
          <cell r="E313" t="str">
            <v>Undrafted</v>
          </cell>
          <cell r="F313">
            <v>12</v>
          </cell>
          <cell r="G313">
            <v>78</v>
          </cell>
        </row>
        <row r="314">
          <cell r="B314" t="str">
            <v>Kimani Vidal</v>
          </cell>
          <cell r="C314" t="str">
            <v>LAC</v>
          </cell>
          <cell r="D314" t="str">
            <v>RB</v>
          </cell>
          <cell r="E314">
            <v>164.01</v>
          </cell>
          <cell r="F314">
            <v>12</v>
          </cell>
          <cell r="G314">
            <v>20</v>
          </cell>
        </row>
        <row r="315">
          <cell r="B315" t="str">
            <v>Luke McCaffrey</v>
          </cell>
          <cell r="C315" t="str">
            <v>WSH</v>
          </cell>
          <cell r="D315" t="str">
            <v>WR</v>
          </cell>
          <cell r="E315" t="str">
            <v>Undrafted</v>
          </cell>
          <cell r="F315">
            <v>12</v>
          </cell>
          <cell r="G315">
            <v>38</v>
          </cell>
        </row>
        <row r="316">
          <cell r="B316" t="str">
            <v>Cam Little</v>
          </cell>
          <cell r="C316" t="str">
            <v>JAX</v>
          </cell>
          <cell r="D316" t="str">
            <v>K</v>
          </cell>
          <cell r="E316">
            <v>138.52000000000001</v>
          </cell>
          <cell r="F316">
            <v>8</v>
          </cell>
          <cell r="G316">
            <v>135</v>
          </cell>
        </row>
        <row r="317">
          <cell r="B317" t="str">
            <v>Van Jefferson</v>
          </cell>
          <cell r="C317" t="str">
            <v>TEN</v>
          </cell>
          <cell r="D317" t="str">
            <v>WR</v>
          </cell>
          <cell r="E317" t="str">
            <v>Undrafted</v>
          </cell>
          <cell r="F317">
            <v>10</v>
          </cell>
          <cell r="G317">
            <v>61</v>
          </cell>
        </row>
        <row r="318">
          <cell r="B318" t="str">
            <v>Jake Moody</v>
          </cell>
          <cell r="C318" t="str">
            <v>WSH</v>
          </cell>
          <cell r="D318" t="str">
            <v>K</v>
          </cell>
          <cell r="E318">
            <v>149.69999999999999</v>
          </cell>
          <cell r="F318">
            <v>12</v>
          </cell>
          <cell r="G318">
            <v>144</v>
          </cell>
        </row>
        <row r="319">
          <cell r="B319" t="str">
            <v>Savion Williams</v>
          </cell>
          <cell r="C319" t="str">
            <v>GB</v>
          </cell>
          <cell r="D319" t="str">
            <v>WR</v>
          </cell>
          <cell r="E319" t="str">
            <v>Undrafted</v>
          </cell>
          <cell r="F319">
            <v>5</v>
          </cell>
          <cell r="G319">
            <v>19</v>
          </cell>
        </row>
        <row r="320">
          <cell r="B320" t="str">
            <v>Spencer Shrader</v>
          </cell>
          <cell r="C320" t="str">
            <v>IND</v>
          </cell>
          <cell r="D320" t="str">
            <v>K</v>
          </cell>
          <cell r="E320" t="str">
            <v>Undrafted</v>
          </cell>
          <cell r="F320">
            <v>11</v>
          </cell>
          <cell r="G320">
            <v>144</v>
          </cell>
        </row>
        <row r="321">
          <cell r="B321" t="str">
            <v>Jalen McMillan</v>
          </cell>
          <cell r="C321" t="str">
            <v>TB</v>
          </cell>
          <cell r="D321" t="str">
            <v>WR</v>
          </cell>
          <cell r="E321" t="str">
            <v>Undrafted</v>
          </cell>
          <cell r="F321">
            <v>9</v>
          </cell>
          <cell r="G321">
            <v>53</v>
          </cell>
        </row>
        <row r="322">
          <cell r="B322" t="str">
            <v>New England Patriots D/ST</v>
          </cell>
          <cell r="C322" t="str">
            <v>NE</v>
          </cell>
          <cell r="D322" t="str">
            <v>DST</v>
          </cell>
          <cell r="E322">
            <v>133.57</v>
          </cell>
          <cell r="F322">
            <v>14</v>
          </cell>
          <cell r="G322">
            <v>87</v>
          </cell>
        </row>
        <row r="323">
          <cell r="B323" t="str">
            <v>Demarcus Robinson</v>
          </cell>
          <cell r="C323" t="str">
            <v>SF</v>
          </cell>
          <cell r="D323" t="str">
            <v>WR</v>
          </cell>
          <cell r="E323" t="str">
            <v>Undrafted</v>
          </cell>
          <cell r="F323">
            <v>14</v>
          </cell>
          <cell r="G323">
            <v>51</v>
          </cell>
        </row>
        <row r="324">
          <cell r="B324" t="str">
            <v>Jason Myers</v>
          </cell>
          <cell r="C324" t="str">
            <v>SEA</v>
          </cell>
          <cell r="D324" t="str">
            <v>K</v>
          </cell>
          <cell r="E324">
            <v>157.22999999999999</v>
          </cell>
          <cell r="F324">
            <v>8</v>
          </cell>
          <cell r="G324">
            <v>132</v>
          </cell>
        </row>
        <row r="325">
          <cell r="B325" t="str">
            <v>Kalif Raymond</v>
          </cell>
          <cell r="C325" t="str">
            <v>DET</v>
          </cell>
          <cell r="D325" t="str">
            <v>WR</v>
          </cell>
          <cell r="E325" t="str">
            <v>Undrafted</v>
          </cell>
          <cell r="F325">
            <v>8</v>
          </cell>
          <cell r="G325">
            <v>38</v>
          </cell>
        </row>
        <row r="326">
          <cell r="B326" t="str">
            <v>Christian Watson</v>
          </cell>
          <cell r="C326" t="str">
            <v>GB</v>
          </cell>
          <cell r="D326" t="str">
            <v>WR</v>
          </cell>
          <cell r="E326" t="str">
            <v>Undrafted</v>
          </cell>
          <cell r="F326">
            <v>5</v>
          </cell>
          <cell r="G326">
            <v>62</v>
          </cell>
        </row>
        <row r="327">
          <cell r="B327" t="str">
            <v>Isaiah Davis</v>
          </cell>
          <cell r="C327" t="str">
            <v>NYJ</v>
          </cell>
          <cell r="D327" t="str">
            <v>RB</v>
          </cell>
          <cell r="E327" t="str">
            <v>Undrafted</v>
          </cell>
          <cell r="F327">
            <v>9</v>
          </cell>
          <cell r="G327">
            <v>30</v>
          </cell>
        </row>
        <row r="328">
          <cell r="B328" t="str">
            <v>Marquez Valdes-Scantling</v>
          </cell>
          <cell r="C328" t="str">
            <v>N/A</v>
          </cell>
          <cell r="D328" t="str">
            <v>WR</v>
          </cell>
          <cell r="E328" t="str">
            <v>Undrafted</v>
          </cell>
          <cell r="G328">
            <v>23</v>
          </cell>
        </row>
        <row r="329">
          <cell r="B329" t="str">
            <v>Xavier Restrepo</v>
          </cell>
          <cell r="C329" t="str">
            <v>N/A</v>
          </cell>
          <cell r="D329" t="str">
            <v>WR</v>
          </cell>
          <cell r="E329" t="str">
            <v>Undrafted</v>
          </cell>
          <cell r="G329">
            <v>14</v>
          </cell>
        </row>
        <row r="330">
          <cell r="B330" t="str">
            <v>Tai Felton</v>
          </cell>
          <cell r="C330" t="str">
            <v>MIN</v>
          </cell>
          <cell r="D330" t="str">
            <v>WR</v>
          </cell>
          <cell r="E330" t="str">
            <v>Undrafted</v>
          </cell>
          <cell r="F330">
            <v>6</v>
          </cell>
          <cell r="G330">
            <v>36</v>
          </cell>
        </row>
        <row r="331">
          <cell r="B331" t="str">
            <v>Jalen Milroe</v>
          </cell>
          <cell r="C331" t="str">
            <v>SEA</v>
          </cell>
          <cell r="D331" t="str">
            <v>QB</v>
          </cell>
          <cell r="E331" t="str">
            <v>Undrafted</v>
          </cell>
          <cell r="F331">
            <v>8</v>
          </cell>
          <cell r="G331">
            <v>23</v>
          </cell>
        </row>
        <row r="332">
          <cell r="B332" t="str">
            <v>Matthew Wright</v>
          </cell>
          <cell r="C332" t="str">
            <v>HOU</v>
          </cell>
          <cell r="D332" t="str">
            <v>K</v>
          </cell>
          <cell r="E332" t="str">
            <v>Undrafted</v>
          </cell>
          <cell r="F332">
            <v>6</v>
          </cell>
          <cell r="G332">
            <v>132</v>
          </cell>
        </row>
        <row r="333">
          <cell r="B333" t="str">
            <v>Mack Hollins</v>
          </cell>
          <cell r="C333" t="str">
            <v>NE</v>
          </cell>
          <cell r="D333" t="str">
            <v>WR</v>
          </cell>
          <cell r="E333" t="str">
            <v>Undrafted</v>
          </cell>
          <cell r="F333">
            <v>14</v>
          </cell>
          <cell r="G333">
            <v>34</v>
          </cell>
        </row>
        <row r="334">
          <cell r="B334" t="str">
            <v>Diontae Johnson</v>
          </cell>
          <cell r="C334" t="str">
            <v>N/A</v>
          </cell>
          <cell r="D334" t="str">
            <v>WR</v>
          </cell>
          <cell r="E334" t="str">
            <v>Undrafted</v>
          </cell>
          <cell r="G334">
            <v>62</v>
          </cell>
        </row>
        <row r="335">
          <cell r="B335" t="str">
            <v>Jermaine Burton</v>
          </cell>
          <cell r="C335" t="str">
            <v>CIN</v>
          </cell>
          <cell r="D335" t="str">
            <v>WR</v>
          </cell>
          <cell r="E335" t="str">
            <v>Undrafted</v>
          </cell>
          <cell r="F335">
            <v>10</v>
          </cell>
          <cell r="G335">
            <v>49</v>
          </cell>
        </row>
        <row r="336">
          <cell r="B336" t="str">
            <v>Tez Johnson</v>
          </cell>
          <cell r="C336" t="str">
            <v>TB</v>
          </cell>
          <cell r="D336" t="str">
            <v>WR</v>
          </cell>
          <cell r="E336" t="str">
            <v>Undrafted</v>
          </cell>
          <cell r="F336">
            <v>9</v>
          </cell>
          <cell r="G336">
            <v>8</v>
          </cell>
        </row>
        <row r="337">
          <cell r="B337" t="str">
            <v>Austin Hooper</v>
          </cell>
          <cell r="C337" t="str">
            <v>NE</v>
          </cell>
          <cell r="D337" t="str">
            <v>TE</v>
          </cell>
          <cell r="E337" t="str">
            <v>Undrafted</v>
          </cell>
          <cell r="F337">
            <v>14</v>
          </cell>
          <cell r="G337">
            <v>70</v>
          </cell>
        </row>
        <row r="338">
          <cell r="B338" t="str">
            <v>Noah Fant</v>
          </cell>
          <cell r="C338" t="str">
            <v>CIN</v>
          </cell>
          <cell r="D338" t="str">
            <v>TE</v>
          </cell>
          <cell r="E338" t="str">
            <v>Undrafted</v>
          </cell>
          <cell r="F338">
            <v>10</v>
          </cell>
          <cell r="G338">
            <v>87</v>
          </cell>
        </row>
        <row r="339">
          <cell r="B339" t="str">
            <v>Daniel Carlson</v>
          </cell>
          <cell r="C339" t="str">
            <v>LV</v>
          </cell>
          <cell r="D339" t="str">
            <v>K</v>
          </cell>
          <cell r="E339">
            <v>151.69999999999999</v>
          </cell>
          <cell r="F339">
            <v>8</v>
          </cell>
          <cell r="G339">
            <v>134</v>
          </cell>
        </row>
        <row r="340">
          <cell r="B340" t="str">
            <v>Dawson Knox</v>
          </cell>
          <cell r="C340" t="str">
            <v>BUF</v>
          </cell>
          <cell r="D340" t="str">
            <v>TE</v>
          </cell>
          <cell r="E340" t="str">
            <v>Undrafted</v>
          </cell>
          <cell r="F340">
            <v>7</v>
          </cell>
          <cell r="G340">
            <v>51</v>
          </cell>
        </row>
        <row r="341">
          <cell r="B341" t="str">
            <v>Allen Lazard</v>
          </cell>
          <cell r="C341" t="str">
            <v>NYJ</v>
          </cell>
          <cell r="D341" t="str">
            <v>WR</v>
          </cell>
          <cell r="E341" t="str">
            <v>Undrafted</v>
          </cell>
          <cell r="F341">
            <v>9</v>
          </cell>
          <cell r="G341">
            <v>75</v>
          </cell>
        </row>
        <row r="342">
          <cell r="B342" t="str">
            <v>Michael Mayer</v>
          </cell>
          <cell r="C342" t="str">
            <v>LV</v>
          </cell>
          <cell r="D342" t="str">
            <v>TE</v>
          </cell>
          <cell r="E342" t="str">
            <v>Undrafted</v>
          </cell>
          <cell r="F342">
            <v>8</v>
          </cell>
          <cell r="G342">
            <v>59</v>
          </cell>
        </row>
        <row r="343">
          <cell r="B343" t="str">
            <v>Chicago Bears D/ST</v>
          </cell>
          <cell r="C343" t="str">
            <v>CHI</v>
          </cell>
          <cell r="D343" t="str">
            <v>DST</v>
          </cell>
          <cell r="E343">
            <v>149.85</v>
          </cell>
          <cell r="F343">
            <v>5</v>
          </cell>
          <cell r="G343">
            <v>91</v>
          </cell>
        </row>
        <row r="344">
          <cell r="B344" t="str">
            <v>Green Bay Packers D/ST</v>
          </cell>
          <cell r="C344" t="str">
            <v>GB</v>
          </cell>
          <cell r="D344" t="str">
            <v>DST</v>
          </cell>
          <cell r="E344">
            <v>145.06</v>
          </cell>
          <cell r="F344">
            <v>5</v>
          </cell>
          <cell r="G344">
            <v>111</v>
          </cell>
        </row>
        <row r="345">
          <cell r="B345" t="str">
            <v>Grant Calcaterra</v>
          </cell>
          <cell r="C345" t="str">
            <v>PHI</v>
          </cell>
          <cell r="D345" t="str">
            <v>TE</v>
          </cell>
          <cell r="E345" t="str">
            <v>Undrafted</v>
          </cell>
          <cell r="F345">
            <v>9</v>
          </cell>
          <cell r="G345">
            <v>31</v>
          </cell>
        </row>
        <row r="346">
          <cell r="B346" t="str">
            <v>Arian Smith</v>
          </cell>
          <cell r="C346" t="str">
            <v>NYJ</v>
          </cell>
          <cell r="D346" t="str">
            <v>WR</v>
          </cell>
          <cell r="E346" t="str">
            <v>Undrafted</v>
          </cell>
          <cell r="F346">
            <v>9</v>
          </cell>
          <cell r="G346">
            <v>40</v>
          </cell>
        </row>
        <row r="347">
          <cell r="B347" t="str">
            <v>Isaiah Bond</v>
          </cell>
          <cell r="C347" t="str">
            <v>CLE</v>
          </cell>
          <cell r="D347" t="str">
            <v>WR</v>
          </cell>
          <cell r="E347" t="str">
            <v>Undrafted</v>
          </cell>
          <cell r="F347">
            <v>9</v>
          </cell>
          <cell r="G347">
            <v>63</v>
          </cell>
        </row>
        <row r="348">
          <cell r="B348" t="str">
            <v>Indianapolis Colts D/ST</v>
          </cell>
          <cell r="C348" t="str">
            <v>IND</v>
          </cell>
          <cell r="D348" t="str">
            <v>DST</v>
          </cell>
          <cell r="E348">
            <v>143.30000000000001</v>
          </cell>
          <cell r="F348">
            <v>11</v>
          </cell>
          <cell r="G348">
            <v>91</v>
          </cell>
        </row>
        <row r="349">
          <cell r="B349" t="str">
            <v>Gunnar Helm</v>
          </cell>
          <cell r="C349" t="str">
            <v>TEN</v>
          </cell>
          <cell r="D349" t="str">
            <v>TE</v>
          </cell>
          <cell r="E349" t="str">
            <v>Undrafted</v>
          </cell>
          <cell r="F349">
            <v>10</v>
          </cell>
          <cell r="G349">
            <v>50</v>
          </cell>
        </row>
        <row r="350">
          <cell r="B350" t="str">
            <v>KhaDarel Hodge</v>
          </cell>
          <cell r="C350" t="str">
            <v>ATL</v>
          </cell>
          <cell r="D350" t="str">
            <v>WR</v>
          </cell>
          <cell r="E350" t="str">
            <v>Undrafted</v>
          </cell>
          <cell r="F350">
            <v>5</v>
          </cell>
          <cell r="G350">
            <v>37</v>
          </cell>
        </row>
        <row r="351">
          <cell r="B351" t="str">
            <v>Tampa Bay Buccaneers D/ST</v>
          </cell>
          <cell r="C351" t="str">
            <v>TB</v>
          </cell>
          <cell r="D351" t="str">
            <v>DST</v>
          </cell>
          <cell r="E351">
            <v>147.41999999999999</v>
          </cell>
          <cell r="F351">
            <v>9</v>
          </cell>
          <cell r="G351">
            <v>99</v>
          </cell>
        </row>
        <row r="352">
          <cell r="B352" t="str">
            <v>JuJu Smith-Schuster</v>
          </cell>
          <cell r="C352" t="str">
            <v>KC</v>
          </cell>
          <cell r="D352" t="str">
            <v>WR</v>
          </cell>
          <cell r="E352" t="str">
            <v>Undrafted</v>
          </cell>
          <cell r="F352">
            <v>10</v>
          </cell>
          <cell r="G352">
            <v>56</v>
          </cell>
        </row>
        <row r="353">
          <cell r="B353" t="str">
            <v>Blake Grupe</v>
          </cell>
          <cell r="C353" t="str">
            <v>NO</v>
          </cell>
          <cell r="D353" t="str">
            <v>K</v>
          </cell>
          <cell r="E353" t="str">
            <v>Undrafted</v>
          </cell>
          <cell r="F353">
            <v>11</v>
          </cell>
          <cell r="G353">
            <v>125</v>
          </cell>
        </row>
        <row r="354">
          <cell r="B354" t="str">
            <v>Luke Schoonmaker</v>
          </cell>
          <cell r="C354" t="str">
            <v>DAL</v>
          </cell>
          <cell r="D354" t="str">
            <v>TE</v>
          </cell>
          <cell r="E354" t="str">
            <v>Undrafted</v>
          </cell>
          <cell r="F354">
            <v>10</v>
          </cell>
          <cell r="G354">
            <v>35</v>
          </cell>
        </row>
        <row r="355">
          <cell r="B355" t="str">
            <v>Malachi Corley</v>
          </cell>
          <cell r="C355" t="str">
            <v>CLE</v>
          </cell>
          <cell r="D355" t="str">
            <v>WR</v>
          </cell>
          <cell r="E355" t="str">
            <v>Undrafted</v>
          </cell>
          <cell r="F355">
            <v>9</v>
          </cell>
          <cell r="G355">
            <v>30</v>
          </cell>
        </row>
        <row r="356">
          <cell r="B356" t="str">
            <v>Tyler Goodson</v>
          </cell>
          <cell r="C356" t="str">
            <v>IND</v>
          </cell>
          <cell r="D356" t="str">
            <v>RB</v>
          </cell>
          <cell r="E356" t="str">
            <v>Undrafted</v>
          </cell>
          <cell r="F356">
            <v>11</v>
          </cell>
          <cell r="G356">
            <v>32</v>
          </cell>
        </row>
        <row r="357">
          <cell r="B357" t="str">
            <v>Cade Stover</v>
          </cell>
          <cell r="C357" t="str">
            <v>HOU</v>
          </cell>
          <cell r="D357" t="str">
            <v>TE</v>
          </cell>
          <cell r="E357" t="str">
            <v>Undrafted</v>
          </cell>
          <cell r="F357">
            <v>6</v>
          </cell>
          <cell r="G357">
            <v>37</v>
          </cell>
        </row>
        <row r="358">
          <cell r="B358" t="str">
            <v>Cam Akers</v>
          </cell>
          <cell r="C358" t="str">
            <v>N/A</v>
          </cell>
          <cell r="D358" t="str">
            <v>RB</v>
          </cell>
          <cell r="E358" t="str">
            <v>Undrafted</v>
          </cell>
          <cell r="G358">
            <v>28</v>
          </cell>
        </row>
        <row r="359">
          <cell r="B359" t="str">
            <v>Cairo Santos</v>
          </cell>
          <cell r="C359" t="str">
            <v>CHI</v>
          </cell>
          <cell r="D359" t="str">
            <v>K</v>
          </cell>
          <cell r="E359">
            <v>161.57</v>
          </cell>
          <cell r="F359">
            <v>5</v>
          </cell>
          <cell r="G359">
            <v>136</v>
          </cell>
        </row>
        <row r="360">
          <cell r="B360" t="str">
            <v>Sincere McCormick</v>
          </cell>
          <cell r="C360" t="str">
            <v>N/A</v>
          </cell>
          <cell r="D360" t="str">
            <v>RB</v>
          </cell>
          <cell r="E360" t="str">
            <v>Undrafted</v>
          </cell>
          <cell r="G360">
            <v>31</v>
          </cell>
        </row>
        <row r="361">
          <cell r="B361" t="str">
            <v>Audric Estime</v>
          </cell>
          <cell r="C361" t="str">
            <v>NO</v>
          </cell>
          <cell r="D361" t="str">
            <v>RB</v>
          </cell>
          <cell r="E361" t="str">
            <v>Undrafted</v>
          </cell>
          <cell r="F361">
            <v>11</v>
          </cell>
          <cell r="G361">
            <v>37</v>
          </cell>
        </row>
        <row r="362">
          <cell r="B362" t="str">
            <v>Dare Ogunbowale</v>
          </cell>
          <cell r="C362" t="str">
            <v>HOU</v>
          </cell>
          <cell r="D362" t="str">
            <v>RB</v>
          </cell>
          <cell r="E362" t="str">
            <v>Undrafted</v>
          </cell>
          <cell r="F362">
            <v>6</v>
          </cell>
          <cell r="G362">
            <v>15</v>
          </cell>
        </row>
        <row r="363">
          <cell r="B363" t="str">
            <v>Raheim Sanders</v>
          </cell>
          <cell r="C363" t="str">
            <v>CLE</v>
          </cell>
          <cell r="D363" t="str">
            <v>RB</v>
          </cell>
          <cell r="E363" t="str">
            <v>Undrafted</v>
          </cell>
          <cell r="F363">
            <v>9</v>
          </cell>
          <cell r="G363">
            <v>75</v>
          </cell>
        </row>
        <row r="364">
          <cell r="B364" t="str">
            <v>Nick Nash</v>
          </cell>
          <cell r="C364" t="str">
            <v>N/A</v>
          </cell>
          <cell r="D364" t="str">
            <v>WR</v>
          </cell>
          <cell r="E364" t="str">
            <v>Undrafted</v>
          </cell>
          <cell r="G364">
            <v>31</v>
          </cell>
        </row>
        <row r="365">
          <cell r="B365" t="str">
            <v>Antonio Gibson</v>
          </cell>
          <cell r="C365" t="str">
            <v>NE</v>
          </cell>
          <cell r="D365" t="str">
            <v>RB</v>
          </cell>
          <cell r="E365" t="str">
            <v>Undrafted</v>
          </cell>
          <cell r="F365">
            <v>14</v>
          </cell>
          <cell r="G365">
            <v>69</v>
          </cell>
        </row>
        <row r="366">
          <cell r="B366" t="str">
            <v>Atlanta Falcons D/ST</v>
          </cell>
          <cell r="C366" t="str">
            <v>ATL</v>
          </cell>
          <cell r="D366" t="str">
            <v>DST</v>
          </cell>
          <cell r="E366" t="str">
            <v>Undrafted</v>
          </cell>
          <cell r="F366">
            <v>5</v>
          </cell>
          <cell r="G366">
            <v>74</v>
          </cell>
        </row>
        <row r="367">
          <cell r="B367" t="str">
            <v>Taysom Hill</v>
          </cell>
          <cell r="C367" t="str">
            <v>NO</v>
          </cell>
          <cell r="D367" t="str">
            <v>TE</v>
          </cell>
          <cell r="E367" t="str">
            <v>Undrafted</v>
          </cell>
          <cell r="F367">
            <v>11</v>
          </cell>
          <cell r="G367">
            <v>4</v>
          </cell>
        </row>
        <row r="368">
          <cell r="B368" t="str">
            <v>Gabriel Davis</v>
          </cell>
          <cell r="C368" t="str">
            <v>N/A</v>
          </cell>
          <cell r="D368" t="str">
            <v>WR</v>
          </cell>
          <cell r="E368" t="str">
            <v>Undrafted</v>
          </cell>
          <cell r="G368">
            <v>118</v>
          </cell>
        </row>
        <row r="369">
          <cell r="B369" t="str">
            <v>Chris Brooks</v>
          </cell>
          <cell r="C369" t="str">
            <v>GB</v>
          </cell>
          <cell r="D369" t="str">
            <v>RB</v>
          </cell>
          <cell r="E369" t="str">
            <v>Undrafted</v>
          </cell>
          <cell r="F369">
            <v>5</v>
          </cell>
          <cell r="G369">
            <v>28</v>
          </cell>
        </row>
        <row r="370">
          <cell r="B370" t="str">
            <v>Washington Commanders D/ST</v>
          </cell>
          <cell r="C370" t="str">
            <v>WSH</v>
          </cell>
          <cell r="D370" t="str">
            <v>DST</v>
          </cell>
          <cell r="E370">
            <v>152.44999999999999</v>
          </cell>
          <cell r="F370">
            <v>12</v>
          </cell>
          <cell r="G370">
            <v>88</v>
          </cell>
        </row>
        <row r="371">
          <cell r="B371" t="str">
            <v>Jeremy McNichols</v>
          </cell>
          <cell r="C371" t="str">
            <v>WSH</v>
          </cell>
          <cell r="D371" t="str">
            <v>RB</v>
          </cell>
          <cell r="E371" t="str">
            <v>Undrafted</v>
          </cell>
          <cell r="F371">
            <v>12</v>
          </cell>
          <cell r="G371">
            <v>18</v>
          </cell>
        </row>
        <row r="372">
          <cell r="B372" t="str">
            <v>Foster Moreau</v>
          </cell>
          <cell r="C372" t="str">
            <v>NO</v>
          </cell>
          <cell r="D372" t="str">
            <v>TE</v>
          </cell>
          <cell r="E372" t="str">
            <v>Undrafted</v>
          </cell>
          <cell r="F372">
            <v>11</v>
          </cell>
          <cell r="G372">
            <v>47</v>
          </cell>
        </row>
        <row r="373">
          <cell r="B373" t="str">
            <v>Elijah Higgins</v>
          </cell>
          <cell r="C373" t="str">
            <v>ARI</v>
          </cell>
          <cell r="D373" t="str">
            <v>TE</v>
          </cell>
          <cell r="E373" t="str">
            <v>Undrafted</v>
          </cell>
          <cell r="F373">
            <v>8</v>
          </cell>
          <cell r="G373">
            <v>28</v>
          </cell>
        </row>
        <row r="374">
          <cell r="B374" t="str">
            <v>Joey Slye</v>
          </cell>
          <cell r="C374" t="str">
            <v>TEN</v>
          </cell>
          <cell r="D374" t="str">
            <v>K</v>
          </cell>
          <cell r="E374" t="str">
            <v>Undrafted</v>
          </cell>
          <cell r="F374">
            <v>10</v>
          </cell>
          <cell r="G374">
            <v>114</v>
          </cell>
        </row>
        <row r="375">
          <cell r="B375" t="str">
            <v>Nick Folk</v>
          </cell>
          <cell r="C375" t="str">
            <v>NYJ</v>
          </cell>
          <cell r="D375" t="str">
            <v>K</v>
          </cell>
          <cell r="E375">
            <v>167.5</v>
          </cell>
          <cell r="F375">
            <v>9</v>
          </cell>
          <cell r="G375">
            <v>131</v>
          </cell>
        </row>
        <row r="376">
          <cell r="B376" t="str">
            <v>Ty Chandler</v>
          </cell>
          <cell r="C376" t="str">
            <v>MIN</v>
          </cell>
          <cell r="D376" t="str">
            <v>RB</v>
          </cell>
          <cell r="E376" t="str">
            <v>Undrafted</v>
          </cell>
          <cell r="F376">
            <v>6</v>
          </cell>
          <cell r="G376">
            <v>18</v>
          </cell>
        </row>
        <row r="377">
          <cell r="B377" t="str">
            <v>Carolina Panthers D/ST</v>
          </cell>
          <cell r="C377" t="str">
            <v>CAR</v>
          </cell>
          <cell r="D377" t="str">
            <v>DST</v>
          </cell>
          <cell r="E377" t="str">
            <v>Undrafted</v>
          </cell>
          <cell r="F377">
            <v>14</v>
          </cell>
          <cell r="G377">
            <v>51</v>
          </cell>
        </row>
        <row r="378">
          <cell r="B378" t="str">
            <v>Las Vegas Raiders D/ST</v>
          </cell>
          <cell r="C378" t="str">
            <v>LV</v>
          </cell>
          <cell r="D378" t="str">
            <v>DST</v>
          </cell>
          <cell r="E378" t="str">
            <v>Undrafted</v>
          </cell>
          <cell r="F378">
            <v>8</v>
          </cell>
          <cell r="G378">
            <v>85</v>
          </cell>
        </row>
        <row r="379">
          <cell r="B379" t="str">
            <v>Graham Gano</v>
          </cell>
          <cell r="C379" t="str">
            <v>NYG</v>
          </cell>
          <cell r="D379" t="str">
            <v>K</v>
          </cell>
          <cell r="E379" t="str">
            <v>Undrafted</v>
          </cell>
          <cell r="F379">
            <v>14</v>
          </cell>
          <cell r="G379">
            <v>127</v>
          </cell>
        </row>
        <row r="380">
          <cell r="B380" t="str">
            <v>Devontez Walker</v>
          </cell>
          <cell r="C380" t="str">
            <v>BAL</v>
          </cell>
          <cell r="D380" t="str">
            <v>WR</v>
          </cell>
          <cell r="E380" t="str">
            <v>Undrafted</v>
          </cell>
          <cell r="F380">
            <v>7</v>
          </cell>
          <cell r="G380">
            <v>11</v>
          </cell>
        </row>
        <row r="381">
          <cell r="B381" t="str">
            <v>Jacksonville Jaguars D/ST</v>
          </cell>
          <cell r="C381" t="str">
            <v>JAX</v>
          </cell>
          <cell r="D381" t="str">
            <v>DST</v>
          </cell>
          <cell r="E381" t="str">
            <v>Undrafted</v>
          </cell>
          <cell r="F381">
            <v>8</v>
          </cell>
          <cell r="G381">
            <v>86</v>
          </cell>
        </row>
        <row r="382">
          <cell r="B382" t="str">
            <v>Zamir White</v>
          </cell>
          <cell r="C382" t="str">
            <v>LV</v>
          </cell>
          <cell r="D382" t="str">
            <v>RB</v>
          </cell>
          <cell r="E382" t="str">
            <v>Undrafted</v>
          </cell>
          <cell r="F382">
            <v>8</v>
          </cell>
          <cell r="G382">
            <v>49</v>
          </cell>
        </row>
        <row r="383">
          <cell r="B383" t="str">
            <v>Jalin Hyatt</v>
          </cell>
          <cell r="C383" t="str">
            <v>NYG</v>
          </cell>
          <cell r="D383" t="str">
            <v>WR</v>
          </cell>
          <cell r="E383" t="str">
            <v>Undrafted</v>
          </cell>
          <cell r="F383">
            <v>14</v>
          </cell>
          <cell r="G383">
            <v>34</v>
          </cell>
        </row>
        <row r="384">
          <cell r="B384" t="str">
            <v>Gus Edwards</v>
          </cell>
          <cell r="C384" t="str">
            <v>N/A</v>
          </cell>
          <cell r="D384" t="str">
            <v>RB</v>
          </cell>
          <cell r="E384" t="str">
            <v>Undrafted</v>
          </cell>
          <cell r="G384">
            <v>67</v>
          </cell>
        </row>
        <row r="385">
          <cell r="B385" t="str">
            <v>Cincinnati Bengals D/ST</v>
          </cell>
          <cell r="C385" t="str">
            <v>CIN</v>
          </cell>
          <cell r="D385" t="str">
            <v>DST</v>
          </cell>
          <cell r="E385" t="str">
            <v>Undrafted</v>
          </cell>
          <cell r="F385">
            <v>10</v>
          </cell>
          <cell r="G385">
            <v>70</v>
          </cell>
        </row>
        <row r="386">
          <cell r="B386" t="str">
            <v>Dillon Gabriel</v>
          </cell>
          <cell r="C386" t="str">
            <v>CLE</v>
          </cell>
          <cell r="D386" t="str">
            <v>QB</v>
          </cell>
          <cell r="E386" t="str">
            <v>Undrafted</v>
          </cell>
          <cell r="F386">
            <v>9</v>
          </cell>
          <cell r="G386">
            <v>47</v>
          </cell>
        </row>
        <row r="387">
          <cell r="B387" t="str">
            <v>Luke Musgrave</v>
          </cell>
          <cell r="C387" t="str">
            <v>GB</v>
          </cell>
          <cell r="D387" t="str">
            <v>TE</v>
          </cell>
          <cell r="E387" t="str">
            <v>Undrafted</v>
          </cell>
          <cell r="F387">
            <v>5</v>
          </cell>
          <cell r="G387">
            <v>43</v>
          </cell>
        </row>
        <row r="388">
          <cell r="B388" t="str">
            <v>Dustin Hopkins</v>
          </cell>
          <cell r="C388" t="str">
            <v>N/A</v>
          </cell>
          <cell r="D388" t="str">
            <v>K</v>
          </cell>
          <cell r="E388" t="str">
            <v>Undrafted</v>
          </cell>
          <cell r="G388">
            <v>104</v>
          </cell>
        </row>
        <row r="389">
          <cell r="B389" t="str">
            <v>Ricky White III</v>
          </cell>
          <cell r="C389" t="str">
            <v>N/A</v>
          </cell>
          <cell r="D389" t="str">
            <v>WR</v>
          </cell>
          <cell r="E389" t="str">
            <v>Undrafted</v>
          </cell>
          <cell r="G389">
            <v>77</v>
          </cell>
        </row>
        <row r="390">
          <cell r="B390" t="str">
            <v>Kendrick Bourne</v>
          </cell>
          <cell r="C390" t="str">
            <v>SF</v>
          </cell>
          <cell r="D390" t="str">
            <v>WR</v>
          </cell>
          <cell r="E390" t="str">
            <v>Undrafted</v>
          </cell>
          <cell r="F390">
            <v>14</v>
          </cell>
          <cell r="G390">
            <v>40</v>
          </cell>
        </row>
        <row r="391">
          <cell r="B391" t="str">
            <v>Trey Sermon</v>
          </cell>
          <cell r="C391" t="str">
            <v>N/A</v>
          </cell>
          <cell r="D391" t="str">
            <v>RB</v>
          </cell>
          <cell r="E391" t="str">
            <v>Undrafted</v>
          </cell>
          <cell r="G391">
            <v>9</v>
          </cell>
        </row>
        <row r="392">
          <cell r="B392" t="str">
            <v>New Orleans Saints D/ST</v>
          </cell>
          <cell r="C392" t="str">
            <v>NO</v>
          </cell>
          <cell r="D392" t="str">
            <v>DST</v>
          </cell>
          <cell r="E392" t="str">
            <v>Undrafted</v>
          </cell>
          <cell r="F392">
            <v>11</v>
          </cell>
          <cell r="G392">
            <v>77</v>
          </cell>
        </row>
        <row r="393">
          <cell r="B393" t="str">
            <v>Miami Dolphins D/ST</v>
          </cell>
          <cell r="C393" t="str">
            <v>MIA</v>
          </cell>
          <cell r="D393" t="str">
            <v>DST</v>
          </cell>
          <cell r="E393" t="str">
            <v>Undrafted</v>
          </cell>
          <cell r="F393">
            <v>12</v>
          </cell>
          <cell r="G393">
            <v>70</v>
          </cell>
        </row>
        <row r="394">
          <cell r="B394" t="str">
            <v>Tyler Boyd</v>
          </cell>
          <cell r="C394" t="str">
            <v>N/A</v>
          </cell>
          <cell r="D394" t="str">
            <v>WR</v>
          </cell>
          <cell r="E394" t="str">
            <v>Undrafted</v>
          </cell>
          <cell r="G394">
            <v>82</v>
          </cell>
        </row>
        <row r="395">
          <cell r="B395" t="str">
            <v>Tennessee Titans D/ST</v>
          </cell>
          <cell r="C395" t="str">
            <v>TEN</v>
          </cell>
          <cell r="D395" t="str">
            <v>DST</v>
          </cell>
          <cell r="E395" t="str">
            <v>Undrafted</v>
          </cell>
          <cell r="F395">
            <v>10</v>
          </cell>
          <cell r="G395">
            <v>65</v>
          </cell>
        </row>
        <row r="396">
          <cell r="B396" t="str">
            <v>Kenny Pickett</v>
          </cell>
          <cell r="C396" t="str">
            <v>LV</v>
          </cell>
          <cell r="D396" t="str">
            <v>QB</v>
          </cell>
          <cell r="E396" t="str">
            <v>Undrafted</v>
          </cell>
          <cell r="F396">
            <v>8</v>
          </cell>
          <cell r="G396">
            <v>6</v>
          </cell>
        </row>
        <row r="397">
          <cell r="B397" t="str">
            <v>Jamaal Williams</v>
          </cell>
          <cell r="C397" t="str">
            <v>N/A</v>
          </cell>
          <cell r="D397" t="str">
            <v>RB</v>
          </cell>
          <cell r="E397" t="str">
            <v>Undrafted</v>
          </cell>
          <cell r="G397">
            <v>38</v>
          </cell>
        </row>
        <row r="398">
          <cell r="B398" t="str">
            <v>Shedeur Sanders</v>
          </cell>
          <cell r="C398" t="str">
            <v>CLE</v>
          </cell>
          <cell r="D398" t="str">
            <v>QB</v>
          </cell>
          <cell r="E398" t="str">
            <v>Undrafted</v>
          </cell>
          <cell r="F398">
            <v>9</v>
          </cell>
          <cell r="G398">
            <v>43</v>
          </cell>
        </row>
        <row r="399">
          <cell r="B399" t="str">
            <v>Emari Demercado</v>
          </cell>
          <cell r="C399" t="str">
            <v>ARI</v>
          </cell>
          <cell r="D399" t="str">
            <v>RB</v>
          </cell>
          <cell r="E399" t="str">
            <v>Undrafted</v>
          </cell>
          <cell r="F399">
            <v>8</v>
          </cell>
          <cell r="G399">
            <v>36</v>
          </cell>
        </row>
        <row r="400">
          <cell r="B400" t="str">
            <v>Michael Carter</v>
          </cell>
          <cell r="C400" t="str">
            <v>ARI</v>
          </cell>
          <cell r="D400" t="str">
            <v>RB</v>
          </cell>
          <cell r="E400" t="str">
            <v>Undrafted</v>
          </cell>
          <cell r="F400">
            <v>8</v>
          </cell>
          <cell r="G400">
            <v>14</v>
          </cell>
        </row>
        <row r="401">
          <cell r="B401" t="str">
            <v>Dylan Laube</v>
          </cell>
          <cell r="C401" t="str">
            <v>LV</v>
          </cell>
          <cell r="D401" t="str">
            <v>RB</v>
          </cell>
          <cell r="E401" t="str">
            <v>Undrafted</v>
          </cell>
          <cell r="F401">
            <v>8</v>
          </cell>
          <cell r="G401">
            <v>50</v>
          </cell>
        </row>
        <row r="402">
          <cell r="B402" t="str">
            <v>Clyde Edwards-Helaire</v>
          </cell>
          <cell r="C402" t="str">
            <v>N/A</v>
          </cell>
          <cell r="D402" t="str">
            <v>RB</v>
          </cell>
          <cell r="E402" t="str">
            <v>Undrafted</v>
          </cell>
          <cell r="G402">
            <v>26</v>
          </cell>
        </row>
        <row r="403">
          <cell r="B403" t="str">
            <v>Phil Mafah</v>
          </cell>
          <cell r="C403" t="str">
            <v>DAL</v>
          </cell>
          <cell r="D403" t="str">
            <v>RB</v>
          </cell>
          <cell r="E403" t="str">
            <v>Undrafted</v>
          </cell>
          <cell r="F403">
            <v>10</v>
          </cell>
          <cell r="G403">
            <v>9</v>
          </cell>
        </row>
        <row r="404">
          <cell r="B404" t="str">
            <v>Craig Reynolds</v>
          </cell>
          <cell r="C404" t="str">
            <v>DET</v>
          </cell>
          <cell r="D404" t="str">
            <v>RB</v>
          </cell>
          <cell r="E404" t="str">
            <v>Undrafted</v>
          </cell>
          <cell r="F404">
            <v>8</v>
          </cell>
          <cell r="G404">
            <v>15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r"/>
      <sheetName val="half_ppr"/>
      <sheetName val="std"/>
      <sheetName val="Instructions"/>
      <sheetName val="Settings"/>
      <sheetName val="POS Ranks"/>
      <sheetName val="OVR &amp; VORP Ranks"/>
      <sheetName val="Ranks w Proj"/>
      <sheetName val="Jake's Ranks"/>
      <sheetName val="ARI"/>
      <sheetName val="ATL"/>
      <sheetName val="BAL"/>
      <sheetName val="BUF"/>
      <sheetName val="CAR"/>
      <sheetName val="CHI"/>
      <sheetName val="CIN"/>
      <sheetName val="CLE"/>
      <sheetName val="DAL"/>
      <sheetName val="DEN"/>
      <sheetName val="DET"/>
      <sheetName val="GB"/>
      <sheetName val="HOU"/>
      <sheetName val="IND"/>
      <sheetName val="JAX"/>
      <sheetName val="KC"/>
      <sheetName val="LV"/>
      <sheetName val="LAC"/>
      <sheetName val="LAR"/>
      <sheetName val="MIA"/>
      <sheetName val="MIN"/>
      <sheetName val="NE"/>
      <sheetName val="NO"/>
      <sheetName val="NYG"/>
      <sheetName val="NYJ"/>
      <sheetName val="PHI"/>
      <sheetName val="PIT"/>
      <sheetName val="SF"/>
      <sheetName val="SEA"/>
      <sheetName val="TB"/>
      <sheetName val="TEN"/>
      <sheetName val="WSH"/>
      <sheetName val="DST"/>
      <sheetName val="Calculated Points"/>
      <sheetName val="Rankings"/>
      <sheetName val="QB"/>
      <sheetName val="RB"/>
      <sheetName val="WR"/>
      <sheetName val="TE"/>
      <sheetName val="DST1"/>
    </sheetNames>
    <sheetDataSet>
      <sheetData sheetId="0">
        <row r="1">
          <cell r="B1" t="str">
            <v>OVERALL PLAYER</v>
          </cell>
          <cell r="C1" t="str">
            <v>POS RK</v>
          </cell>
          <cell r="D1" t="str">
            <v>BYE</v>
          </cell>
          <cell r="E1" t="str">
            <v>FPS</v>
          </cell>
        </row>
        <row r="2">
          <cell r="B2" t="str">
            <v>Ja'Marr Chase</v>
          </cell>
          <cell r="C2" t="str">
            <v>WR1</v>
          </cell>
          <cell r="D2">
            <v>10</v>
          </cell>
          <cell r="E2">
            <v>314.52608678150921</v>
          </cell>
        </row>
        <row r="3">
          <cell r="B3" t="str">
            <v>Christian McCaffrey</v>
          </cell>
          <cell r="C3" t="str">
            <v>RB1</v>
          </cell>
          <cell r="D3">
            <v>14</v>
          </cell>
          <cell r="E3">
            <v>340.87175388661751</v>
          </cell>
        </row>
        <row r="4">
          <cell r="B4" t="str">
            <v>CeeDee Lamb</v>
          </cell>
          <cell r="C4" t="str">
            <v>WR2</v>
          </cell>
          <cell r="D4">
            <v>10</v>
          </cell>
          <cell r="E4">
            <v>302.70261854112391</v>
          </cell>
        </row>
        <row r="5">
          <cell r="B5" t="str">
            <v>Justin Jefferson</v>
          </cell>
          <cell r="C5" t="str">
            <v>WR3</v>
          </cell>
          <cell r="D5">
            <v>6</v>
          </cell>
          <cell r="E5">
            <v>289.81500370367991</v>
          </cell>
        </row>
        <row r="6">
          <cell r="B6" t="str">
            <v>Amon-Ra St Brown</v>
          </cell>
          <cell r="C6" t="str">
            <v>WR4</v>
          </cell>
          <cell r="D6">
            <v>8</v>
          </cell>
          <cell r="E6">
            <v>287.26188984984788</v>
          </cell>
        </row>
        <row r="7">
          <cell r="B7" t="str">
            <v>Puka Nacua</v>
          </cell>
          <cell r="C7" t="str">
            <v>WR5</v>
          </cell>
          <cell r="D7">
            <v>8</v>
          </cell>
          <cell r="E7">
            <v>285.72001121798695</v>
          </cell>
        </row>
        <row r="8">
          <cell r="B8" t="str">
            <v>Jahmyr Gibbs</v>
          </cell>
          <cell r="C8" t="str">
            <v>RB2</v>
          </cell>
          <cell r="D8">
            <v>8</v>
          </cell>
          <cell r="E8">
            <v>310.20755274563368</v>
          </cell>
        </row>
        <row r="9">
          <cell r="B9" t="str">
            <v>Malik Nabers</v>
          </cell>
          <cell r="C9" t="str">
            <v>WR6</v>
          </cell>
          <cell r="D9">
            <v>14</v>
          </cell>
          <cell r="E9">
            <v>274.03975246727765</v>
          </cell>
        </row>
        <row r="10">
          <cell r="B10" t="str">
            <v>Drake London</v>
          </cell>
          <cell r="C10" t="str">
            <v>WR7</v>
          </cell>
          <cell r="D10">
            <v>5</v>
          </cell>
          <cell r="E10">
            <v>273.56591071353608</v>
          </cell>
        </row>
        <row r="11">
          <cell r="B11" t="str">
            <v>Brian Thomas Jr</v>
          </cell>
          <cell r="C11" t="str">
            <v>WR8</v>
          </cell>
          <cell r="D11">
            <v>8</v>
          </cell>
          <cell r="E11">
            <v>271.20467861068425</v>
          </cell>
        </row>
        <row r="12">
          <cell r="B12" t="str">
            <v>Bijan Robinson</v>
          </cell>
          <cell r="C12" t="str">
            <v>RB3</v>
          </cell>
          <cell r="D12">
            <v>5</v>
          </cell>
          <cell r="E12">
            <v>295.88628546653098</v>
          </cell>
        </row>
        <row r="13">
          <cell r="B13" t="str">
            <v>Jaxon Smith-Njigba</v>
          </cell>
          <cell r="C13" t="str">
            <v>WR9</v>
          </cell>
          <cell r="D13">
            <v>8</v>
          </cell>
          <cell r="E13">
            <v>264.97752903638008</v>
          </cell>
        </row>
        <row r="14">
          <cell r="B14" t="str">
            <v>Nico Collins</v>
          </cell>
          <cell r="C14" t="str">
            <v>WR10</v>
          </cell>
          <cell r="D14">
            <v>6</v>
          </cell>
          <cell r="E14">
            <v>263.12237823687815</v>
          </cell>
        </row>
        <row r="15">
          <cell r="B15" t="str">
            <v>Davante Adams</v>
          </cell>
          <cell r="C15" t="str">
            <v>WR11</v>
          </cell>
          <cell r="D15">
            <v>8</v>
          </cell>
          <cell r="E15">
            <v>261.73059207165676</v>
          </cell>
        </row>
        <row r="16">
          <cell r="B16" t="str">
            <v>Bucky Irving</v>
          </cell>
          <cell r="C16" t="str">
            <v>RB4</v>
          </cell>
          <cell r="D16">
            <v>9</v>
          </cell>
          <cell r="E16">
            <v>284.75845293718044</v>
          </cell>
        </row>
        <row r="17">
          <cell r="B17" t="str">
            <v>De'Von Achane</v>
          </cell>
          <cell r="C17" t="str">
            <v>RB5</v>
          </cell>
          <cell r="D17">
            <v>12</v>
          </cell>
          <cell r="E17">
            <v>284.60498103384441</v>
          </cell>
        </row>
        <row r="18">
          <cell r="B18" t="str">
            <v>Tyreek Hill</v>
          </cell>
          <cell r="C18" t="str">
            <v>WR12</v>
          </cell>
          <cell r="D18">
            <v>12</v>
          </cell>
          <cell r="E18">
            <v>259.34040207661832</v>
          </cell>
        </row>
        <row r="19">
          <cell r="B19" t="str">
            <v>Saquon Barkley</v>
          </cell>
          <cell r="C19" t="str">
            <v>RB6</v>
          </cell>
          <cell r="D19">
            <v>9</v>
          </cell>
          <cell r="E19">
            <v>283.51123882366937</v>
          </cell>
        </row>
        <row r="20">
          <cell r="B20" t="str">
            <v>Tee Higgins</v>
          </cell>
          <cell r="C20" t="str">
            <v>WR13</v>
          </cell>
          <cell r="D20">
            <v>10</v>
          </cell>
          <cell r="E20">
            <v>257.99093396534641</v>
          </cell>
        </row>
        <row r="21">
          <cell r="B21" t="str">
            <v>Derrick Henry</v>
          </cell>
          <cell r="C21" t="str">
            <v>RB7</v>
          </cell>
          <cell r="D21">
            <v>7</v>
          </cell>
          <cell r="E21">
            <v>273.22939222990766</v>
          </cell>
        </row>
        <row r="22">
          <cell r="B22" t="str">
            <v>Alvin Kamara</v>
          </cell>
          <cell r="C22" t="str">
            <v>RB8</v>
          </cell>
          <cell r="D22">
            <v>11</v>
          </cell>
          <cell r="E22">
            <v>272.77218518197202</v>
          </cell>
        </row>
        <row r="23">
          <cell r="B23" t="str">
            <v>Terry McLaurin</v>
          </cell>
          <cell r="C23" t="str">
            <v>WR14</v>
          </cell>
          <cell r="D23">
            <v>12</v>
          </cell>
          <cell r="E23">
            <v>247.29141257243413</v>
          </cell>
        </row>
        <row r="24">
          <cell r="B24" t="str">
            <v>Josh Jacobs</v>
          </cell>
          <cell r="C24" t="str">
            <v>RB9</v>
          </cell>
          <cell r="D24">
            <v>5</v>
          </cell>
          <cell r="E24">
            <v>267.47567110573232</v>
          </cell>
        </row>
        <row r="25">
          <cell r="B25" t="str">
            <v>Ladd McConkey</v>
          </cell>
          <cell r="C25" t="str">
            <v>WR15</v>
          </cell>
          <cell r="D25">
            <v>12</v>
          </cell>
          <cell r="E25">
            <v>246.37287725033198</v>
          </cell>
        </row>
        <row r="26">
          <cell r="B26" t="str">
            <v>Mike Evans</v>
          </cell>
          <cell r="C26" t="str">
            <v>WR16</v>
          </cell>
          <cell r="D26">
            <v>9</v>
          </cell>
          <cell r="E26">
            <v>245.72232048690148</v>
          </cell>
        </row>
        <row r="27">
          <cell r="B27" t="str">
            <v>Jameson Williams</v>
          </cell>
          <cell r="C27" t="str">
            <v>WR17</v>
          </cell>
          <cell r="D27">
            <v>8</v>
          </cell>
          <cell r="E27">
            <v>245.54674638529653</v>
          </cell>
        </row>
        <row r="28">
          <cell r="B28" t="str">
            <v>Xavier Worthy</v>
          </cell>
          <cell r="C28" t="str">
            <v>WR18</v>
          </cell>
          <cell r="D28">
            <v>10</v>
          </cell>
          <cell r="E28">
            <v>243.96870681929022</v>
          </cell>
        </row>
        <row r="29">
          <cell r="B29" t="str">
            <v>Calvin Ridley</v>
          </cell>
          <cell r="C29" t="str">
            <v>WR19</v>
          </cell>
          <cell r="D29">
            <v>10</v>
          </cell>
          <cell r="E29">
            <v>240.58109428990556</v>
          </cell>
        </row>
        <row r="30">
          <cell r="B30" t="str">
            <v>Chase Brown</v>
          </cell>
          <cell r="C30" t="str">
            <v>RB10</v>
          </cell>
          <cell r="D30">
            <v>10</v>
          </cell>
          <cell r="E30">
            <v>257.50167941691899</v>
          </cell>
        </row>
        <row r="31">
          <cell r="B31" t="str">
            <v>DK Metcalf</v>
          </cell>
          <cell r="C31" t="str">
            <v>WR20</v>
          </cell>
          <cell r="D31">
            <v>5</v>
          </cell>
          <cell r="E31">
            <v>236.12369159610003</v>
          </cell>
        </row>
        <row r="32">
          <cell r="B32" t="str">
            <v>Jonathan Taylor</v>
          </cell>
          <cell r="C32" t="str">
            <v>RB11</v>
          </cell>
          <cell r="D32">
            <v>11</v>
          </cell>
          <cell r="E32">
            <v>253.11796150612943</v>
          </cell>
        </row>
        <row r="33">
          <cell r="B33" t="str">
            <v>Kyren Williams</v>
          </cell>
          <cell r="C33" t="str">
            <v>RB12</v>
          </cell>
          <cell r="D33">
            <v>8</v>
          </cell>
          <cell r="E33">
            <v>253.03848494454735</v>
          </cell>
        </row>
        <row r="34">
          <cell r="B34" t="str">
            <v>Ricky Pearsall</v>
          </cell>
          <cell r="C34" t="str">
            <v>WR21</v>
          </cell>
          <cell r="D34">
            <v>14</v>
          </cell>
          <cell r="E34">
            <v>231.98824446265442</v>
          </cell>
        </row>
        <row r="35">
          <cell r="B35" t="str">
            <v>George Pickens</v>
          </cell>
          <cell r="C35" t="str">
            <v>WR22</v>
          </cell>
          <cell r="D35">
            <v>10</v>
          </cell>
          <cell r="E35">
            <v>231.76394278857413</v>
          </cell>
        </row>
        <row r="36">
          <cell r="B36" t="str">
            <v>Courtland Sutton</v>
          </cell>
          <cell r="C36" t="str">
            <v>WR23</v>
          </cell>
          <cell r="D36">
            <v>12</v>
          </cell>
          <cell r="E36">
            <v>230.81271160192</v>
          </cell>
        </row>
        <row r="37">
          <cell r="B37" t="str">
            <v>Tetairoa McMillan</v>
          </cell>
          <cell r="C37" t="str">
            <v>WR24</v>
          </cell>
          <cell r="D37">
            <v>14</v>
          </cell>
          <cell r="E37">
            <v>229.93787270299995</v>
          </cell>
        </row>
        <row r="38">
          <cell r="B38" t="str">
            <v>AJ Brown</v>
          </cell>
          <cell r="C38" t="str">
            <v>WR25</v>
          </cell>
          <cell r="D38">
            <v>9</v>
          </cell>
          <cell r="E38">
            <v>229.76601789859217</v>
          </cell>
        </row>
        <row r="39">
          <cell r="B39" t="str">
            <v>Emeka Egbuka</v>
          </cell>
          <cell r="C39" t="str">
            <v>WR26</v>
          </cell>
          <cell r="D39">
            <v>9</v>
          </cell>
          <cell r="E39">
            <v>228.41650680584095</v>
          </cell>
        </row>
        <row r="40">
          <cell r="B40" t="str">
            <v>Ashton Jeanty</v>
          </cell>
          <cell r="C40" t="str">
            <v>RB13</v>
          </cell>
          <cell r="D40">
            <v>8</v>
          </cell>
          <cell r="E40">
            <v>243.89724576023238</v>
          </cell>
        </row>
        <row r="41">
          <cell r="B41" t="str">
            <v>Omarion Hampton</v>
          </cell>
          <cell r="C41" t="str">
            <v>RB14</v>
          </cell>
          <cell r="D41">
            <v>12</v>
          </cell>
          <cell r="E41">
            <v>241.51947708391995</v>
          </cell>
        </row>
        <row r="42">
          <cell r="B42" t="str">
            <v>Jaylen Waddle</v>
          </cell>
          <cell r="C42" t="str">
            <v>WR27</v>
          </cell>
          <cell r="D42">
            <v>12</v>
          </cell>
          <cell r="E42">
            <v>225.51654372460081</v>
          </cell>
        </row>
        <row r="43">
          <cell r="B43" t="str">
            <v>Cooper Kupp</v>
          </cell>
          <cell r="C43" t="str">
            <v>WR28</v>
          </cell>
          <cell r="D43">
            <v>8</v>
          </cell>
          <cell r="E43">
            <v>225.41614280849666</v>
          </cell>
        </row>
        <row r="44">
          <cell r="B44" t="str">
            <v>Brock Bowers</v>
          </cell>
          <cell r="C44" t="str">
            <v>TE1</v>
          </cell>
          <cell r="D44">
            <v>8</v>
          </cell>
          <cell r="E44">
            <v>263.99259804153604</v>
          </cell>
        </row>
        <row r="45">
          <cell r="B45" t="str">
            <v>Jakobi Meyers</v>
          </cell>
          <cell r="C45" t="str">
            <v>WR29</v>
          </cell>
          <cell r="D45">
            <v>8</v>
          </cell>
          <cell r="E45">
            <v>224.73998430549122</v>
          </cell>
        </row>
        <row r="46">
          <cell r="B46" t="str">
            <v>Garrett Wilson</v>
          </cell>
          <cell r="C46" t="str">
            <v>WR30</v>
          </cell>
          <cell r="D46">
            <v>9</v>
          </cell>
          <cell r="E46">
            <v>223.86409779942704</v>
          </cell>
        </row>
        <row r="47">
          <cell r="B47" t="str">
            <v>Rome Odunze</v>
          </cell>
          <cell r="C47" t="str">
            <v>WR31</v>
          </cell>
          <cell r="D47">
            <v>5</v>
          </cell>
          <cell r="E47">
            <v>222.62876271417599</v>
          </cell>
        </row>
        <row r="48">
          <cell r="B48" t="str">
            <v>James Conner</v>
          </cell>
          <cell r="C48" t="str">
            <v>RB15</v>
          </cell>
          <cell r="D48">
            <v>8</v>
          </cell>
          <cell r="E48">
            <v>236.28143330644923</v>
          </cell>
        </row>
        <row r="49">
          <cell r="B49" t="str">
            <v>Jerry Jeudy</v>
          </cell>
          <cell r="C49" t="str">
            <v>WR32</v>
          </cell>
          <cell r="D49">
            <v>9</v>
          </cell>
          <cell r="E49">
            <v>219.07627489439994</v>
          </cell>
        </row>
        <row r="50">
          <cell r="B50" t="str">
            <v>Lamar Jackson</v>
          </cell>
          <cell r="C50" t="str">
            <v>QB1</v>
          </cell>
          <cell r="D50">
            <v>7</v>
          </cell>
          <cell r="E50">
            <v>382.58688114878112</v>
          </cell>
        </row>
        <row r="51">
          <cell r="B51" t="str">
            <v>Chuba Hubbard</v>
          </cell>
          <cell r="C51" t="str">
            <v>RB16</v>
          </cell>
          <cell r="D51">
            <v>14</v>
          </cell>
          <cell r="E51">
            <v>231.57683621440563</v>
          </cell>
        </row>
        <row r="52">
          <cell r="B52" t="str">
            <v>DJ Moore</v>
          </cell>
          <cell r="C52" t="str">
            <v>WR33</v>
          </cell>
          <cell r="D52">
            <v>5</v>
          </cell>
          <cell r="E52">
            <v>217.14132328944368</v>
          </cell>
        </row>
        <row r="53">
          <cell r="B53" t="str">
            <v>DeVonta Smith</v>
          </cell>
          <cell r="C53" t="str">
            <v>WR34</v>
          </cell>
          <cell r="D53">
            <v>9</v>
          </cell>
          <cell r="E53">
            <v>215.18248764437675</v>
          </cell>
        </row>
        <row r="54">
          <cell r="B54" t="str">
            <v>Marvin Harrison Jr</v>
          </cell>
          <cell r="C54" t="str">
            <v>WR35</v>
          </cell>
          <cell r="D54">
            <v>8</v>
          </cell>
          <cell r="E54">
            <v>215.12763477152322</v>
          </cell>
        </row>
        <row r="55">
          <cell r="B55" t="str">
            <v>TreVeyon Henderson</v>
          </cell>
          <cell r="C55" t="str">
            <v>RB17</v>
          </cell>
          <cell r="D55">
            <v>14</v>
          </cell>
          <cell r="E55">
            <v>228.15129781456406</v>
          </cell>
        </row>
        <row r="56">
          <cell r="B56" t="str">
            <v>Kenneth Walker III</v>
          </cell>
          <cell r="C56" t="str">
            <v>RB18</v>
          </cell>
          <cell r="D56">
            <v>8</v>
          </cell>
          <cell r="E56">
            <v>220.92864193496101</v>
          </cell>
        </row>
        <row r="57">
          <cell r="B57" t="str">
            <v>Travis Hunter</v>
          </cell>
          <cell r="C57" t="str">
            <v>WR36</v>
          </cell>
          <cell r="D57">
            <v>8</v>
          </cell>
          <cell r="E57">
            <v>208.01859354814994</v>
          </cell>
        </row>
        <row r="58">
          <cell r="B58" t="str">
            <v>Matthew Golden</v>
          </cell>
          <cell r="C58" t="str">
            <v>WR37</v>
          </cell>
          <cell r="D58">
            <v>5</v>
          </cell>
          <cell r="E58">
            <v>205.04700032651525</v>
          </cell>
        </row>
        <row r="59">
          <cell r="B59" t="str">
            <v>Zay Flowers</v>
          </cell>
          <cell r="C59" t="str">
            <v>WR38</v>
          </cell>
          <cell r="D59">
            <v>7</v>
          </cell>
          <cell r="E59">
            <v>204.81427659633124</v>
          </cell>
        </row>
        <row r="60">
          <cell r="B60" t="str">
            <v>Trey McBride</v>
          </cell>
          <cell r="C60" t="str">
            <v>TE2</v>
          </cell>
          <cell r="D60">
            <v>8</v>
          </cell>
          <cell r="E60">
            <v>243.64618012269398</v>
          </cell>
        </row>
        <row r="61">
          <cell r="B61" t="str">
            <v>Chris Olave</v>
          </cell>
          <cell r="C61" t="str">
            <v>WR39</v>
          </cell>
          <cell r="D61">
            <v>11</v>
          </cell>
          <cell r="E61">
            <v>204.477970913685</v>
          </cell>
        </row>
        <row r="62">
          <cell r="B62" t="str">
            <v>D'Andre Swift</v>
          </cell>
          <cell r="C62" t="str">
            <v>RB19</v>
          </cell>
          <cell r="D62">
            <v>5</v>
          </cell>
          <cell r="E62">
            <v>212.7723716971494</v>
          </cell>
        </row>
        <row r="63">
          <cell r="B63" t="str">
            <v>George Kittle</v>
          </cell>
          <cell r="C63" t="str">
            <v>TE3</v>
          </cell>
          <cell r="D63">
            <v>14</v>
          </cell>
          <cell r="E63">
            <v>240.23835360278213</v>
          </cell>
        </row>
        <row r="64">
          <cell r="B64" t="str">
            <v>James Cook</v>
          </cell>
          <cell r="C64" t="str">
            <v>RB20</v>
          </cell>
          <cell r="D64">
            <v>7</v>
          </cell>
          <cell r="E64">
            <v>210.17577673027441</v>
          </cell>
        </row>
        <row r="65">
          <cell r="B65" t="str">
            <v>Breece Hall</v>
          </cell>
          <cell r="C65" t="str">
            <v>RB21</v>
          </cell>
          <cell r="D65">
            <v>9</v>
          </cell>
          <cell r="E65">
            <v>203.90803365160178</v>
          </cell>
        </row>
        <row r="66">
          <cell r="B66" t="str">
            <v>Josh Allen</v>
          </cell>
          <cell r="C66" t="str">
            <v>QB2</v>
          </cell>
          <cell r="D66">
            <v>7</v>
          </cell>
          <cell r="E66">
            <v>370.47444984937704</v>
          </cell>
        </row>
        <row r="67">
          <cell r="B67" t="str">
            <v>Aaron Jones</v>
          </cell>
          <cell r="C67" t="str">
            <v>RB22</v>
          </cell>
          <cell r="D67">
            <v>6</v>
          </cell>
          <cell r="E67">
            <v>203.59146286883032</v>
          </cell>
        </row>
        <row r="68">
          <cell r="B68" t="str">
            <v>Isiah Pacheco</v>
          </cell>
          <cell r="C68" t="str">
            <v>RB23</v>
          </cell>
          <cell r="D68">
            <v>10</v>
          </cell>
          <cell r="E68">
            <v>202.78341767092499</v>
          </cell>
        </row>
        <row r="69">
          <cell r="B69" t="str">
            <v>Darnell Mooney</v>
          </cell>
          <cell r="C69" t="str">
            <v>WR40</v>
          </cell>
          <cell r="D69">
            <v>5</v>
          </cell>
          <cell r="E69">
            <v>193.75199638768513</v>
          </cell>
        </row>
        <row r="70">
          <cell r="B70" t="str">
            <v>Jayden Higgins</v>
          </cell>
          <cell r="C70" t="str">
            <v>WR41</v>
          </cell>
          <cell r="D70">
            <v>6</v>
          </cell>
          <cell r="E70">
            <v>192.26586802655231</v>
          </cell>
        </row>
        <row r="71">
          <cell r="B71" t="str">
            <v>Marvin Mims Jr</v>
          </cell>
          <cell r="C71" t="str">
            <v>WR42</v>
          </cell>
          <cell r="D71">
            <v>12</v>
          </cell>
          <cell r="E71">
            <v>189.48898230808004</v>
          </cell>
        </row>
        <row r="72">
          <cell r="B72" t="str">
            <v>Jauan Jennings</v>
          </cell>
          <cell r="C72" t="str">
            <v>WR43</v>
          </cell>
          <cell r="D72">
            <v>14</v>
          </cell>
          <cell r="E72">
            <v>189.00871646735231</v>
          </cell>
        </row>
        <row r="73">
          <cell r="B73" t="str">
            <v>Deebo Samuel</v>
          </cell>
          <cell r="C73" t="str">
            <v>WR44</v>
          </cell>
          <cell r="D73">
            <v>12</v>
          </cell>
          <cell r="E73">
            <v>188.65551493443439</v>
          </cell>
        </row>
        <row r="74">
          <cell r="B74" t="str">
            <v>Jayden Daniels</v>
          </cell>
          <cell r="C74" t="str">
            <v>QB3</v>
          </cell>
          <cell r="D74">
            <v>12</v>
          </cell>
          <cell r="E74">
            <v>368.27823482139502</v>
          </cell>
        </row>
        <row r="75">
          <cell r="B75" t="str">
            <v>RJ Harvey</v>
          </cell>
          <cell r="C75" t="str">
            <v>RB24</v>
          </cell>
          <cell r="D75">
            <v>12</v>
          </cell>
          <cell r="E75">
            <v>193.59501930507199</v>
          </cell>
        </row>
        <row r="76">
          <cell r="B76" t="str">
            <v>Travis Kelce</v>
          </cell>
          <cell r="C76" t="str">
            <v>TE4</v>
          </cell>
          <cell r="D76">
            <v>10</v>
          </cell>
          <cell r="E76">
            <v>224.64166742602896</v>
          </cell>
        </row>
        <row r="77">
          <cell r="B77" t="str">
            <v>Jaylen Warren</v>
          </cell>
          <cell r="C77" t="str">
            <v>RB25</v>
          </cell>
          <cell r="D77">
            <v>5</v>
          </cell>
          <cell r="E77">
            <v>191.21323371192</v>
          </cell>
        </row>
        <row r="78">
          <cell r="B78" t="str">
            <v>Chris Godwin</v>
          </cell>
          <cell r="C78" t="str">
            <v>WR45</v>
          </cell>
          <cell r="D78">
            <v>9</v>
          </cell>
          <cell r="E78">
            <v>184.56379121681539</v>
          </cell>
        </row>
        <row r="79">
          <cell r="B79" t="str">
            <v>Khalil Shakir</v>
          </cell>
          <cell r="C79" t="str">
            <v>WR46</v>
          </cell>
          <cell r="D79">
            <v>7</v>
          </cell>
          <cell r="E79">
            <v>181.37082856600119</v>
          </cell>
        </row>
        <row r="80">
          <cell r="B80" t="str">
            <v>Javonte Williams</v>
          </cell>
          <cell r="C80" t="str">
            <v>RB26</v>
          </cell>
          <cell r="D80">
            <v>10</v>
          </cell>
          <cell r="E80">
            <v>185.50356012318377</v>
          </cell>
        </row>
        <row r="81">
          <cell r="B81" t="str">
            <v>Tyrone Tracy</v>
          </cell>
          <cell r="C81" t="str">
            <v>RB27</v>
          </cell>
          <cell r="D81">
            <v>14</v>
          </cell>
          <cell r="E81">
            <v>185.42796133663805</v>
          </cell>
        </row>
        <row r="82">
          <cell r="B82" t="str">
            <v>Tony Pollard</v>
          </cell>
          <cell r="C82" t="str">
            <v>RB28</v>
          </cell>
          <cell r="D82">
            <v>10</v>
          </cell>
          <cell r="E82">
            <v>185.02484543466281</v>
          </cell>
        </row>
        <row r="83">
          <cell r="B83" t="str">
            <v>Joshua Palmer</v>
          </cell>
          <cell r="C83" t="str">
            <v>WR47</v>
          </cell>
          <cell r="D83">
            <v>7</v>
          </cell>
          <cell r="E83">
            <v>180.23408660260475</v>
          </cell>
        </row>
        <row r="84">
          <cell r="B84" t="str">
            <v>Josh Downs</v>
          </cell>
          <cell r="C84" t="str">
            <v>WR48</v>
          </cell>
          <cell r="D84">
            <v>11</v>
          </cell>
          <cell r="E84">
            <v>178.78881486712513</v>
          </cell>
        </row>
        <row r="85">
          <cell r="B85" t="str">
            <v>Cedric Tillman</v>
          </cell>
          <cell r="C85" t="str">
            <v>WR49</v>
          </cell>
          <cell r="D85">
            <v>9</v>
          </cell>
          <cell r="E85">
            <v>178.24487040360003</v>
          </cell>
        </row>
        <row r="86">
          <cell r="B86" t="str">
            <v>Jalen Hurts</v>
          </cell>
          <cell r="C86" t="str">
            <v>QB4</v>
          </cell>
          <cell r="D86">
            <v>9</v>
          </cell>
          <cell r="E86">
            <v>361.81824306837785</v>
          </cell>
        </row>
        <row r="87">
          <cell r="B87" t="str">
            <v>Rashid Shaheed</v>
          </cell>
          <cell r="C87" t="str">
            <v>WR50</v>
          </cell>
          <cell r="D87">
            <v>11</v>
          </cell>
          <cell r="E87">
            <v>176.45914390128638</v>
          </cell>
        </row>
        <row r="88">
          <cell r="B88" t="str">
            <v>JK Dobbins</v>
          </cell>
          <cell r="C88" t="str">
            <v>RB29</v>
          </cell>
          <cell r="D88">
            <v>12</v>
          </cell>
          <cell r="E88">
            <v>179.54087654271996</v>
          </cell>
        </row>
        <row r="89">
          <cell r="B89" t="str">
            <v>Keon Coleman</v>
          </cell>
          <cell r="C89" t="str">
            <v>WR51</v>
          </cell>
          <cell r="D89">
            <v>7</v>
          </cell>
          <cell r="E89">
            <v>174.75806348222994</v>
          </cell>
        </row>
        <row r="90">
          <cell r="B90" t="str">
            <v>Xavier Legette</v>
          </cell>
          <cell r="C90" t="str">
            <v>WR52</v>
          </cell>
          <cell r="D90">
            <v>14</v>
          </cell>
          <cell r="E90">
            <v>174.41376755575496</v>
          </cell>
        </row>
        <row r="91">
          <cell r="B91" t="str">
            <v>Rashee Rice</v>
          </cell>
          <cell r="C91" t="str">
            <v>WR53</v>
          </cell>
          <cell r="D91">
            <v>10</v>
          </cell>
          <cell r="E91">
            <v>173.57576300700177</v>
          </cell>
        </row>
        <row r="92">
          <cell r="B92" t="str">
            <v>Jayden Reed</v>
          </cell>
          <cell r="C92" t="str">
            <v>WR54</v>
          </cell>
          <cell r="D92">
            <v>5</v>
          </cell>
          <cell r="E92">
            <v>170.6021273036134</v>
          </cell>
        </row>
        <row r="93">
          <cell r="B93" t="str">
            <v>David Montgomery</v>
          </cell>
          <cell r="C93" t="str">
            <v>RB30</v>
          </cell>
          <cell r="D93">
            <v>8</v>
          </cell>
          <cell r="E93">
            <v>171.79609632165023</v>
          </cell>
        </row>
        <row r="94">
          <cell r="B94" t="str">
            <v>Jordan Addison</v>
          </cell>
          <cell r="C94" t="str">
            <v>WR55</v>
          </cell>
          <cell r="D94">
            <v>6</v>
          </cell>
          <cell r="E94">
            <v>169.08037221184196</v>
          </cell>
        </row>
        <row r="95">
          <cell r="B95" t="str">
            <v>Andrei Iosivas</v>
          </cell>
          <cell r="C95" t="str">
            <v>WR56</v>
          </cell>
          <cell r="D95">
            <v>10</v>
          </cell>
          <cell r="E95">
            <v>168.49168057181461</v>
          </cell>
        </row>
        <row r="96">
          <cell r="B96" t="str">
            <v>Austin Ekeler</v>
          </cell>
          <cell r="C96" t="str">
            <v>RB31</v>
          </cell>
          <cell r="D96">
            <v>12</v>
          </cell>
          <cell r="E96">
            <v>169.02234088625144</v>
          </cell>
        </row>
        <row r="97">
          <cell r="B97" t="str">
            <v>Romeo Doubs</v>
          </cell>
          <cell r="C97" t="str">
            <v>WR57</v>
          </cell>
          <cell r="D97">
            <v>5</v>
          </cell>
          <cell r="E97">
            <v>167.5860133753344</v>
          </cell>
        </row>
        <row r="98">
          <cell r="B98" t="str">
            <v>Stefon Diggs</v>
          </cell>
          <cell r="C98" t="str">
            <v>WR58</v>
          </cell>
          <cell r="D98">
            <v>14</v>
          </cell>
          <cell r="E98">
            <v>166.73429931992064</v>
          </cell>
        </row>
        <row r="99">
          <cell r="B99" t="str">
            <v>Michael Pittman Jr</v>
          </cell>
          <cell r="C99" t="str">
            <v>WR59</v>
          </cell>
          <cell r="D99">
            <v>11</v>
          </cell>
          <cell r="E99">
            <v>165.99442497547392</v>
          </cell>
        </row>
        <row r="100">
          <cell r="B100" t="str">
            <v>Jacory Croskey-Merritt</v>
          </cell>
          <cell r="C100" t="str">
            <v>RB32</v>
          </cell>
          <cell r="D100">
            <v>12</v>
          </cell>
          <cell r="E100">
            <v>165.7790094247336</v>
          </cell>
        </row>
        <row r="101">
          <cell r="B101" t="str">
            <v>Travis Etienne Jr</v>
          </cell>
          <cell r="C101" t="str">
            <v>RB33</v>
          </cell>
          <cell r="D101">
            <v>8</v>
          </cell>
          <cell r="E101">
            <v>164.68161983669765</v>
          </cell>
        </row>
        <row r="102">
          <cell r="B102" t="str">
            <v>Christian Kirk</v>
          </cell>
          <cell r="C102" t="str">
            <v>WR60</v>
          </cell>
          <cell r="D102">
            <v>6</v>
          </cell>
          <cell r="E102">
            <v>163.87541137294215</v>
          </cell>
        </row>
        <row r="103">
          <cell r="B103" t="str">
            <v>Cam Skattebo</v>
          </cell>
          <cell r="C103" t="str">
            <v>RB34</v>
          </cell>
          <cell r="D103">
            <v>14</v>
          </cell>
          <cell r="E103">
            <v>157.65590183631934</v>
          </cell>
        </row>
        <row r="104">
          <cell r="B104" t="str">
            <v>DeMario Douglas</v>
          </cell>
          <cell r="C104" t="str">
            <v>WR61</v>
          </cell>
          <cell r="D104">
            <v>14</v>
          </cell>
          <cell r="E104">
            <v>155.98414973877121</v>
          </cell>
        </row>
        <row r="105">
          <cell r="B105" t="str">
            <v>Kaleb Johnson</v>
          </cell>
          <cell r="C105" t="str">
            <v>RB35</v>
          </cell>
          <cell r="D105">
            <v>5</v>
          </cell>
          <cell r="E105">
            <v>153.92101916614499</v>
          </cell>
        </row>
        <row r="106">
          <cell r="B106" t="str">
            <v>Keenan Allen</v>
          </cell>
          <cell r="C106" t="str">
            <v>WR62</v>
          </cell>
          <cell r="D106">
            <v>12</v>
          </cell>
          <cell r="E106">
            <v>155.46396621932399</v>
          </cell>
        </row>
        <row r="107">
          <cell r="B107" t="str">
            <v>Zach Charbonnet</v>
          </cell>
          <cell r="C107" t="str">
            <v>RB36</v>
          </cell>
          <cell r="D107">
            <v>8</v>
          </cell>
          <cell r="E107">
            <v>152.775621526528</v>
          </cell>
        </row>
        <row r="108">
          <cell r="B108" t="str">
            <v>Joe Burrow</v>
          </cell>
          <cell r="C108" t="str">
            <v>QB5</v>
          </cell>
          <cell r="D108">
            <v>10</v>
          </cell>
          <cell r="E108">
            <v>338.95905235772284</v>
          </cell>
        </row>
        <row r="109">
          <cell r="B109" t="str">
            <v>Josh Reynolds</v>
          </cell>
          <cell r="C109" t="str">
            <v>WR63</v>
          </cell>
          <cell r="D109">
            <v>9</v>
          </cell>
          <cell r="E109">
            <v>153.24156019038242</v>
          </cell>
        </row>
        <row r="110">
          <cell r="B110" t="str">
            <v>Wan'Dale Robinson</v>
          </cell>
          <cell r="C110" t="str">
            <v>WR64</v>
          </cell>
          <cell r="D110">
            <v>14</v>
          </cell>
          <cell r="E110">
            <v>153.08376599471097</v>
          </cell>
        </row>
        <row r="111">
          <cell r="B111" t="str">
            <v>Dylan Sampson</v>
          </cell>
          <cell r="C111" t="str">
            <v>RB37</v>
          </cell>
          <cell r="D111">
            <v>9</v>
          </cell>
          <cell r="E111">
            <v>147.95665012800004</v>
          </cell>
        </row>
        <row r="112">
          <cell r="B112" t="str">
            <v>Roman Wilson</v>
          </cell>
          <cell r="C112" t="str">
            <v>WR65</v>
          </cell>
          <cell r="D112">
            <v>5</v>
          </cell>
          <cell r="E112">
            <v>150.48385167816002</v>
          </cell>
        </row>
        <row r="113">
          <cell r="B113" t="str">
            <v>David Njoku</v>
          </cell>
          <cell r="C113" t="str">
            <v>TE5</v>
          </cell>
          <cell r="D113">
            <v>9</v>
          </cell>
          <cell r="E113">
            <v>188.65224921564001</v>
          </cell>
        </row>
        <row r="114">
          <cell r="B114" t="str">
            <v>Justin Fields</v>
          </cell>
          <cell r="C114" t="str">
            <v>QB6</v>
          </cell>
          <cell r="D114">
            <v>9</v>
          </cell>
          <cell r="E114">
            <v>333.85194577125975</v>
          </cell>
        </row>
        <row r="115">
          <cell r="B115" t="str">
            <v>Tyler Lockett</v>
          </cell>
          <cell r="C115" t="str">
            <v>WR66</v>
          </cell>
          <cell r="D115">
            <v>10</v>
          </cell>
          <cell r="E115">
            <v>148.63929664953596</v>
          </cell>
        </row>
        <row r="116">
          <cell r="B116" t="str">
            <v>Amari Cooper</v>
          </cell>
          <cell r="C116" t="str">
            <v>WR67</v>
          </cell>
          <cell r="D116">
            <v>8</v>
          </cell>
          <cell r="E116">
            <v>148.31051702201279</v>
          </cell>
        </row>
        <row r="117">
          <cell r="B117" t="str">
            <v>Jordan Mason</v>
          </cell>
          <cell r="C117" t="str">
            <v>RB38</v>
          </cell>
          <cell r="D117">
            <v>6</v>
          </cell>
          <cell r="E117">
            <v>144.67247265681061</v>
          </cell>
        </row>
        <row r="118">
          <cell r="B118" t="str">
            <v>Ollie Gordon II</v>
          </cell>
          <cell r="C118" t="str">
            <v>RB39</v>
          </cell>
          <cell r="D118">
            <v>12</v>
          </cell>
          <cell r="E118">
            <v>143.32783585424838</v>
          </cell>
        </row>
        <row r="119">
          <cell r="B119" t="str">
            <v>Baker Mayfield</v>
          </cell>
          <cell r="C119" t="str">
            <v>QB7</v>
          </cell>
          <cell r="D119">
            <v>9</v>
          </cell>
          <cell r="E119">
            <v>332.28434770840778</v>
          </cell>
        </row>
        <row r="120">
          <cell r="B120" t="str">
            <v>Mark Andrews</v>
          </cell>
          <cell r="C120" t="str">
            <v>TE6</v>
          </cell>
          <cell r="D120">
            <v>7</v>
          </cell>
          <cell r="E120">
            <v>180.78211253955428</v>
          </cell>
        </row>
        <row r="121">
          <cell r="B121" t="str">
            <v>Jaydon Blue</v>
          </cell>
          <cell r="C121" t="str">
            <v>RB40</v>
          </cell>
          <cell r="D121">
            <v>10</v>
          </cell>
          <cell r="E121">
            <v>135.58908754143098</v>
          </cell>
        </row>
        <row r="122">
          <cell r="B122" t="str">
            <v>Sam LaPorta</v>
          </cell>
          <cell r="C122" t="str">
            <v>TE7</v>
          </cell>
          <cell r="D122">
            <v>8</v>
          </cell>
          <cell r="E122">
            <v>178.738593795165</v>
          </cell>
        </row>
        <row r="123">
          <cell r="B123" t="str">
            <v>Jake Ferguson</v>
          </cell>
          <cell r="C123" t="str">
            <v>TE8</v>
          </cell>
          <cell r="D123">
            <v>10</v>
          </cell>
          <cell r="E123">
            <v>177.99601746074325</v>
          </cell>
        </row>
        <row r="124">
          <cell r="B124" t="str">
            <v>Tory Horton</v>
          </cell>
          <cell r="C124" t="str">
            <v>WR68</v>
          </cell>
          <cell r="D124">
            <v>8</v>
          </cell>
          <cell r="E124">
            <v>135.34242824374272</v>
          </cell>
        </row>
        <row r="125">
          <cell r="B125" t="str">
            <v>Tyjae Spears</v>
          </cell>
          <cell r="C125" t="str">
            <v>RB41</v>
          </cell>
          <cell r="D125">
            <v>10</v>
          </cell>
          <cell r="E125">
            <v>126.9447083884224</v>
          </cell>
        </row>
        <row r="126">
          <cell r="B126" t="str">
            <v>Patrick Mahomes</v>
          </cell>
          <cell r="C126" t="str">
            <v>QB8</v>
          </cell>
          <cell r="D126">
            <v>10</v>
          </cell>
          <cell r="E126">
            <v>322.17403798902967</v>
          </cell>
        </row>
        <row r="127">
          <cell r="B127" t="str">
            <v>Quinshon Judkins</v>
          </cell>
          <cell r="C127" t="str">
            <v>RB42</v>
          </cell>
          <cell r="D127">
            <v>9</v>
          </cell>
          <cell r="E127">
            <v>125.90909238599998</v>
          </cell>
        </row>
        <row r="128">
          <cell r="B128" t="str">
            <v>Jalen Coker</v>
          </cell>
          <cell r="C128" t="str">
            <v>WR69</v>
          </cell>
          <cell r="D128">
            <v>14</v>
          </cell>
          <cell r="E128">
            <v>132.83494300976898</v>
          </cell>
        </row>
        <row r="129">
          <cell r="B129" t="str">
            <v>Nick Chubb</v>
          </cell>
          <cell r="C129" t="str">
            <v>RB43</v>
          </cell>
          <cell r="D129">
            <v>6</v>
          </cell>
          <cell r="E129">
            <v>125.46100911360746</v>
          </cell>
        </row>
        <row r="130">
          <cell r="B130" t="str">
            <v>Elic Ayomanor</v>
          </cell>
          <cell r="C130" t="str">
            <v>WR70</v>
          </cell>
          <cell r="D130">
            <v>10</v>
          </cell>
          <cell r="E130">
            <v>129.43228399295037</v>
          </cell>
        </row>
        <row r="131">
          <cell r="B131" t="str">
            <v>Kyle Pitts</v>
          </cell>
          <cell r="C131" t="str">
            <v>TE9</v>
          </cell>
          <cell r="D131">
            <v>5</v>
          </cell>
          <cell r="E131">
            <v>167.86506340477442</v>
          </cell>
        </row>
        <row r="132">
          <cell r="B132" t="str">
            <v>Rashod Bateman</v>
          </cell>
          <cell r="C132" t="str">
            <v>WR71</v>
          </cell>
          <cell r="D132">
            <v>7</v>
          </cell>
          <cell r="E132">
            <v>128.28549989214955</v>
          </cell>
        </row>
        <row r="133">
          <cell r="B133" t="str">
            <v>Hunter Henry</v>
          </cell>
          <cell r="C133" t="str">
            <v>TE10</v>
          </cell>
          <cell r="D133">
            <v>14</v>
          </cell>
          <cell r="E133">
            <v>166.31686399644289</v>
          </cell>
        </row>
        <row r="134">
          <cell r="B134" t="str">
            <v>Tucker Kraft</v>
          </cell>
          <cell r="C134" t="str">
            <v>TE11</v>
          </cell>
          <cell r="D134">
            <v>5</v>
          </cell>
          <cell r="E134">
            <v>165.400861707648</v>
          </cell>
        </row>
        <row r="135">
          <cell r="B135" t="str">
            <v>Zay Jones</v>
          </cell>
          <cell r="C135" t="str">
            <v>WR72</v>
          </cell>
          <cell r="D135">
            <v>8</v>
          </cell>
          <cell r="E135">
            <v>125.70963277533107</v>
          </cell>
        </row>
        <row r="136">
          <cell r="B136" t="str">
            <v>Rhamondre Stevenson</v>
          </cell>
          <cell r="C136" t="str">
            <v>RB44</v>
          </cell>
          <cell r="D136">
            <v>14</v>
          </cell>
          <cell r="E136">
            <v>116.37622317800003</v>
          </cell>
        </row>
        <row r="137">
          <cell r="B137" t="str">
            <v>Alec Pierce</v>
          </cell>
          <cell r="C137" t="str">
            <v>WR73</v>
          </cell>
          <cell r="D137">
            <v>11</v>
          </cell>
          <cell r="E137">
            <v>125.55989639182077</v>
          </cell>
        </row>
        <row r="138">
          <cell r="B138" t="str">
            <v>Evan Engram</v>
          </cell>
          <cell r="C138" t="str">
            <v>TE12</v>
          </cell>
          <cell r="D138">
            <v>12</v>
          </cell>
          <cell r="E138">
            <v>164.69375891136002</v>
          </cell>
        </row>
        <row r="139">
          <cell r="B139" t="str">
            <v>Luther Burden III</v>
          </cell>
          <cell r="C139" t="str">
            <v>WR74</v>
          </cell>
          <cell r="D139">
            <v>5</v>
          </cell>
          <cell r="E139">
            <v>123.84197911970638</v>
          </cell>
        </row>
        <row r="140">
          <cell r="B140" t="str">
            <v>TJ Hockenson</v>
          </cell>
          <cell r="C140" t="str">
            <v>TE13</v>
          </cell>
          <cell r="D140">
            <v>6</v>
          </cell>
          <cell r="E140">
            <v>162.97015409176313</v>
          </cell>
        </row>
        <row r="141">
          <cell r="B141" t="str">
            <v>Dyami Brown</v>
          </cell>
          <cell r="C141" t="str">
            <v>WR75</v>
          </cell>
          <cell r="D141">
            <v>8</v>
          </cell>
          <cell r="E141">
            <v>123.38350738017917</v>
          </cell>
        </row>
        <row r="142">
          <cell r="B142" t="str">
            <v>Caleb Williams</v>
          </cell>
          <cell r="C142" t="str">
            <v>QB9</v>
          </cell>
          <cell r="D142">
            <v>5</v>
          </cell>
          <cell r="E142">
            <v>313.3672233874517</v>
          </cell>
        </row>
        <row r="143">
          <cell r="B143" t="str">
            <v>Tre Harris</v>
          </cell>
          <cell r="C143" t="str">
            <v>WR76</v>
          </cell>
          <cell r="D143">
            <v>12</v>
          </cell>
          <cell r="E143">
            <v>122.57989486142401</v>
          </cell>
        </row>
        <row r="144">
          <cell r="B144" t="str">
            <v>Darius Slayton</v>
          </cell>
          <cell r="C144" t="str">
            <v>WR77</v>
          </cell>
          <cell r="D144">
            <v>14</v>
          </cell>
          <cell r="E144">
            <v>120.92981134444392</v>
          </cell>
        </row>
        <row r="145">
          <cell r="B145" t="str">
            <v>Brashard Smith</v>
          </cell>
          <cell r="C145" t="str">
            <v>RB45</v>
          </cell>
          <cell r="D145">
            <v>10</v>
          </cell>
          <cell r="E145">
            <v>106.58819971603998</v>
          </cell>
        </row>
        <row r="146">
          <cell r="B146" t="str">
            <v>DeAndre Hopkins</v>
          </cell>
          <cell r="C146" t="str">
            <v>WR78</v>
          </cell>
          <cell r="D146">
            <v>7</v>
          </cell>
          <cell r="E146">
            <v>117.47602446163582</v>
          </cell>
        </row>
        <row r="147">
          <cell r="B147" t="str">
            <v>Rachaad White</v>
          </cell>
          <cell r="C147" t="str">
            <v>RB46</v>
          </cell>
          <cell r="D147">
            <v>9</v>
          </cell>
          <cell r="E147">
            <v>103.00818802015917</v>
          </cell>
        </row>
        <row r="148">
          <cell r="B148" t="str">
            <v>Mason Taylor</v>
          </cell>
          <cell r="C148" t="str">
            <v>TE14</v>
          </cell>
          <cell r="D148">
            <v>9</v>
          </cell>
          <cell r="E148">
            <v>153.98055681295585</v>
          </cell>
        </row>
        <row r="149">
          <cell r="B149" t="str">
            <v>Quentin Johnston</v>
          </cell>
          <cell r="C149" t="str">
            <v>WR79</v>
          </cell>
          <cell r="D149">
            <v>12</v>
          </cell>
          <cell r="E149">
            <v>113.9895986788944</v>
          </cell>
        </row>
        <row r="150">
          <cell r="B150" t="str">
            <v>Brock Purdy</v>
          </cell>
          <cell r="C150" t="str">
            <v>QB10</v>
          </cell>
          <cell r="D150">
            <v>14</v>
          </cell>
          <cell r="E150">
            <v>307.63939247855097</v>
          </cell>
        </row>
        <row r="151">
          <cell r="B151" t="str">
            <v>Ray Davis</v>
          </cell>
          <cell r="C151" t="str">
            <v>RB47</v>
          </cell>
          <cell r="D151">
            <v>7</v>
          </cell>
          <cell r="E151">
            <v>101.26049063864644</v>
          </cell>
        </row>
        <row r="152">
          <cell r="B152" t="str">
            <v>Najee Harris</v>
          </cell>
          <cell r="C152" t="str">
            <v>RB48</v>
          </cell>
          <cell r="D152">
            <v>12</v>
          </cell>
          <cell r="E152">
            <v>98.752231957870393</v>
          </cell>
        </row>
        <row r="153">
          <cell r="B153" t="str">
            <v>Bo Nix</v>
          </cell>
          <cell r="C153" t="str">
            <v>QB11</v>
          </cell>
          <cell r="D153">
            <v>12</v>
          </cell>
          <cell r="E153">
            <v>306.64607153709284</v>
          </cell>
        </row>
        <row r="154">
          <cell r="B154" t="str">
            <v>Trey Benson</v>
          </cell>
          <cell r="C154" t="str">
            <v>RB49</v>
          </cell>
          <cell r="D154">
            <v>8</v>
          </cell>
          <cell r="E154">
            <v>97.52629962457948</v>
          </cell>
        </row>
        <row r="155">
          <cell r="B155" t="str">
            <v>Arian Smith</v>
          </cell>
          <cell r="C155" t="str">
            <v>WR80</v>
          </cell>
          <cell r="D155">
            <v>9</v>
          </cell>
          <cell r="E155">
            <v>110.34569389520826</v>
          </cell>
        </row>
        <row r="156">
          <cell r="B156" t="str">
            <v>Brandon Aiyuk</v>
          </cell>
          <cell r="C156" t="str">
            <v>WR81</v>
          </cell>
          <cell r="D156">
            <v>14</v>
          </cell>
          <cell r="E156">
            <v>110.1389437762891</v>
          </cell>
        </row>
        <row r="157">
          <cell r="B157" t="str">
            <v>Tyler Allgeier</v>
          </cell>
          <cell r="C157" t="str">
            <v>RB50</v>
          </cell>
          <cell r="D157">
            <v>5</v>
          </cell>
          <cell r="E157">
            <v>96.86946642600131</v>
          </cell>
        </row>
        <row r="158">
          <cell r="B158" t="str">
            <v>Kyler Murray</v>
          </cell>
          <cell r="C158" t="str">
            <v>QB12</v>
          </cell>
          <cell r="D158">
            <v>8</v>
          </cell>
          <cell r="E158">
            <v>305.49353011697758</v>
          </cell>
        </row>
        <row r="159">
          <cell r="B159" t="str">
            <v>Brenton Strange</v>
          </cell>
          <cell r="C159" t="str">
            <v>TE15</v>
          </cell>
          <cell r="D159">
            <v>8</v>
          </cell>
          <cell r="E159">
            <v>148.55229077969275</v>
          </cell>
        </row>
        <row r="160">
          <cell r="B160" t="str">
            <v>Tank Bigsby</v>
          </cell>
          <cell r="C160" t="str">
            <v>RB51</v>
          </cell>
          <cell r="D160">
            <v>8</v>
          </cell>
          <cell r="E160">
            <v>96.068945608271903</v>
          </cell>
        </row>
        <row r="161">
          <cell r="B161" t="str">
            <v>Dalton Kincaid</v>
          </cell>
          <cell r="C161" t="str">
            <v>TE16</v>
          </cell>
          <cell r="D161">
            <v>7</v>
          </cell>
          <cell r="E161">
            <v>148.17980919964373</v>
          </cell>
        </row>
        <row r="162">
          <cell r="B162" t="str">
            <v>Rico Dowdle</v>
          </cell>
          <cell r="C162" t="str">
            <v>RB52</v>
          </cell>
          <cell r="D162">
            <v>14</v>
          </cell>
          <cell r="E162">
            <v>93.586937066700372</v>
          </cell>
        </row>
        <row r="163">
          <cell r="B163" t="str">
            <v>Kendre Miller</v>
          </cell>
          <cell r="C163" t="str">
            <v>RB53</v>
          </cell>
          <cell r="D163">
            <v>11</v>
          </cell>
          <cell r="E163">
            <v>92.60906371290001</v>
          </cell>
        </row>
        <row r="164">
          <cell r="B164" t="str">
            <v>Jerome Ford</v>
          </cell>
          <cell r="C164" t="str">
            <v>RB54</v>
          </cell>
          <cell r="D164">
            <v>9</v>
          </cell>
          <cell r="E164">
            <v>92.301682371254984</v>
          </cell>
        </row>
        <row r="165">
          <cell r="B165" t="str">
            <v>Joe Mixon</v>
          </cell>
          <cell r="C165" t="str">
            <v>RB55</v>
          </cell>
          <cell r="D165">
            <v>6</v>
          </cell>
          <cell r="E165">
            <v>92.019306353148735</v>
          </cell>
        </row>
        <row r="166">
          <cell r="B166" t="str">
            <v>Dak Prescott</v>
          </cell>
          <cell r="C166" t="str">
            <v>QB13</v>
          </cell>
          <cell r="D166">
            <v>10</v>
          </cell>
          <cell r="E166">
            <v>304.28657866151991</v>
          </cell>
        </row>
        <row r="167">
          <cell r="B167" t="str">
            <v>Tyler Warren</v>
          </cell>
          <cell r="C167" t="str">
            <v>TE17</v>
          </cell>
          <cell r="D167">
            <v>11</v>
          </cell>
          <cell r="E167">
            <v>143.57885718453983</v>
          </cell>
        </row>
        <row r="168">
          <cell r="B168" t="str">
            <v>Darren Waller</v>
          </cell>
          <cell r="C168" t="str">
            <v>TE18</v>
          </cell>
          <cell r="D168">
            <v>12</v>
          </cell>
          <cell r="E168">
            <v>143.53947540092159</v>
          </cell>
        </row>
        <row r="169">
          <cell r="B169" t="str">
            <v>Isaac TeSlaa</v>
          </cell>
          <cell r="C169" t="str">
            <v>WR82</v>
          </cell>
          <cell r="D169">
            <v>8</v>
          </cell>
          <cell r="E169">
            <v>103.70820821088</v>
          </cell>
        </row>
        <row r="170">
          <cell r="B170" t="str">
            <v>Kenneth Gainwell</v>
          </cell>
          <cell r="C170" t="str">
            <v>RB56</v>
          </cell>
          <cell r="D170">
            <v>5</v>
          </cell>
          <cell r="E170">
            <v>87.097887039239993</v>
          </cell>
        </row>
        <row r="171">
          <cell r="B171" t="str">
            <v>Trevor Lawrence</v>
          </cell>
          <cell r="C171" t="str">
            <v>QB14</v>
          </cell>
          <cell r="D171">
            <v>8</v>
          </cell>
          <cell r="E171">
            <v>299.63981959630308</v>
          </cell>
        </row>
        <row r="172">
          <cell r="B172" t="str">
            <v>Tahj Brooks</v>
          </cell>
          <cell r="C172" t="str">
            <v>RB57</v>
          </cell>
          <cell r="D172">
            <v>10</v>
          </cell>
          <cell r="E172">
            <v>83.413477092768218</v>
          </cell>
        </row>
        <row r="173">
          <cell r="B173" t="str">
            <v>Woody Marks</v>
          </cell>
          <cell r="C173" t="str">
            <v>RB58</v>
          </cell>
          <cell r="D173">
            <v>6</v>
          </cell>
          <cell r="E173">
            <v>83.383312160890569</v>
          </cell>
        </row>
        <row r="174">
          <cell r="B174" t="str">
            <v>Braelon Allen</v>
          </cell>
          <cell r="C174" t="str">
            <v>RB59</v>
          </cell>
          <cell r="D174">
            <v>9</v>
          </cell>
          <cell r="E174">
            <v>81.924806313628864</v>
          </cell>
        </row>
        <row r="175">
          <cell r="B175" t="str">
            <v>Ja'Tavion Sanders</v>
          </cell>
          <cell r="C175" t="str">
            <v>TE19</v>
          </cell>
          <cell r="D175">
            <v>14</v>
          </cell>
          <cell r="E175">
            <v>134.99781192972898</v>
          </cell>
        </row>
        <row r="176">
          <cell r="B176" t="str">
            <v>Tutu Atwell</v>
          </cell>
          <cell r="C176" t="str">
            <v>WR83</v>
          </cell>
          <cell r="D176">
            <v>8</v>
          </cell>
          <cell r="E176">
            <v>95.487045505322683</v>
          </cell>
        </row>
        <row r="177">
          <cell r="B177" t="str">
            <v>Brian Robinson</v>
          </cell>
          <cell r="C177" t="str">
            <v>RB60</v>
          </cell>
          <cell r="D177">
            <v>14</v>
          </cell>
          <cell r="E177">
            <v>78.747513041051292</v>
          </cell>
        </row>
        <row r="178">
          <cell r="B178" t="str">
            <v>CJ Stroud</v>
          </cell>
          <cell r="C178" t="str">
            <v>QB15</v>
          </cell>
          <cell r="D178">
            <v>6</v>
          </cell>
          <cell r="E178">
            <v>295.91472454876794</v>
          </cell>
        </row>
        <row r="179">
          <cell r="B179" t="str">
            <v>Kyle Monangai</v>
          </cell>
          <cell r="C179" t="str">
            <v>RB61</v>
          </cell>
          <cell r="D179">
            <v>5</v>
          </cell>
          <cell r="E179">
            <v>76.382367211087754</v>
          </cell>
        </row>
        <row r="180">
          <cell r="B180" t="str">
            <v>Adonai Mitchell</v>
          </cell>
          <cell r="C180" t="str">
            <v>WR84</v>
          </cell>
          <cell r="D180">
            <v>11</v>
          </cell>
          <cell r="E180">
            <v>93.308568106494732</v>
          </cell>
        </row>
        <row r="181">
          <cell r="B181" t="str">
            <v>Will Shipley</v>
          </cell>
          <cell r="C181" t="str">
            <v>RB62</v>
          </cell>
          <cell r="D181">
            <v>9</v>
          </cell>
          <cell r="E181">
            <v>75.626074813641949</v>
          </cell>
        </row>
        <row r="182">
          <cell r="B182" t="str">
            <v>Michael Wilson</v>
          </cell>
          <cell r="C182" t="str">
            <v>WR85</v>
          </cell>
          <cell r="D182">
            <v>8</v>
          </cell>
          <cell r="E182">
            <v>92.183112834153519</v>
          </cell>
        </row>
        <row r="183">
          <cell r="B183" t="str">
            <v>Isaiah Likely</v>
          </cell>
          <cell r="C183" t="str">
            <v>TE20</v>
          </cell>
          <cell r="D183">
            <v>7</v>
          </cell>
          <cell r="E183">
            <v>131.14823938253451</v>
          </cell>
        </row>
        <row r="184">
          <cell r="B184" t="str">
            <v>Bhayshul Tuten</v>
          </cell>
          <cell r="C184" t="str">
            <v>RB63</v>
          </cell>
          <cell r="D184">
            <v>8</v>
          </cell>
          <cell r="E184">
            <v>73.103069318388933</v>
          </cell>
        </row>
        <row r="185">
          <cell r="B185" t="str">
            <v>Dallas Goedert</v>
          </cell>
          <cell r="C185" t="str">
            <v>TE21</v>
          </cell>
          <cell r="D185">
            <v>9</v>
          </cell>
          <cell r="E185">
            <v>128.98810790558306</v>
          </cell>
        </row>
        <row r="186">
          <cell r="B186" t="str">
            <v>Adam Thielen</v>
          </cell>
          <cell r="C186" t="str">
            <v>WR86</v>
          </cell>
          <cell r="D186">
            <v>6</v>
          </cell>
          <cell r="E186">
            <v>89.774564713142368</v>
          </cell>
        </row>
        <row r="187">
          <cell r="B187" t="str">
            <v>Jaylen Wright</v>
          </cell>
          <cell r="C187" t="str">
            <v>RB64</v>
          </cell>
          <cell r="D187">
            <v>12</v>
          </cell>
          <cell r="E187">
            <v>70.911573975149082</v>
          </cell>
        </row>
        <row r="188">
          <cell r="B188" t="str">
            <v>Drake Maye</v>
          </cell>
          <cell r="C188" t="str">
            <v>QB16</v>
          </cell>
          <cell r="D188">
            <v>14</v>
          </cell>
          <cell r="E188">
            <v>292.55955247041601</v>
          </cell>
        </row>
        <row r="189">
          <cell r="B189" t="str">
            <v>Calvin Austin</v>
          </cell>
          <cell r="C189" t="str">
            <v>WR87</v>
          </cell>
          <cell r="D189">
            <v>5</v>
          </cell>
          <cell r="E189">
            <v>88.395168624840011</v>
          </cell>
        </row>
        <row r="190">
          <cell r="B190" t="str">
            <v>Dont'e Thornton Jr</v>
          </cell>
          <cell r="C190" t="str">
            <v>WR88</v>
          </cell>
          <cell r="D190">
            <v>8</v>
          </cell>
          <cell r="E190">
            <v>85.96379589557759</v>
          </cell>
        </row>
        <row r="191">
          <cell r="B191" t="str">
            <v>Theo Johnson</v>
          </cell>
          <cell r="C191" t="str">
            <v>TE22</v>
          </cell>
          <cell r="D191">
            <v>14</v>
          </cell>
          <cell r="E191">
            <v>125.06020651222561</v>
          </cell>
        </row>
        <row r="192">
          <cell r="B192" t="str">
            <v>Raheem Mostert</v>
          </cell>
          <cell r="C192" t="str">
            <v>RB65</v>
          </cell>
          <cell r="D192">
            <v>8</v>
          </cell>
          <cell r="E192">
            <v>66.6949852754651</v>
          </cell>
        </row>
        <row r="193">
          <cell r="B193" t="str">
            <v>Roschon Johnson</v>
          </cell>
          <cell r="C193" t="str">
            <v>RB66</v>
          </cell>
          <cell r="D193">
            <v>5</v>
          </cell>
          <cell r="E193">
            <v>66.325837934879132</v>
          </cell>
        </row>
        <row r="194">
          <cell r="B194" t="str">
            <v>DJ Giddens</v>
          </cell>
          <cell r="C194" t="str">
            <v>RB67</v>
          </cell>
          <cell r="D194">
            <v>11</v>
          </cell>
          <cell r="E194">
            <v>65.453686172407402</v>
          </cell>
        </row>
        <row r="195">
          <cell r="B195" t="str">
            <v>Jared Goff</v>
          </cell>
          <cell r="C195" t="str">
            <v>QB17</v>
          </cell>
          <cell r="D195">
            <v>8</v>
          </cell>
          <cell r="E195">
            <v>289.17259219181915</v>
          </cell>
        </row>
        <row r="196">
          <cell r="B196" t="str">
            <v>Nick Westbrook-Ikhine</v>
          </cell>
          <cell r="C196" t="str">
            <v>WR89</v>
          </cell>
          <cell r="D196">
            <v>12</v>
          </cell>
          <cell r="E196">
            <v>83.45806050149568</v>
          </cell>
        </row>
        <row r="197">
          <cell r="B197" t="str">
            <v>Keaton Mitchell</v>
          </cell>
          <cell r="C197" t="str">
            <v>RB68</v>
          </cell>
          <cell r="D197">
            <v>7</v>
          </cell>
          <cell r="E197">
            <v>63.672712780761614</v>
          </cell>
        </row>
        <row r="198">
          <cell r="B198" t="str">
            <v>Zach Ertz</v>
          </cell>
          <cell r="C198" t="str">
            <v>TE23</v>
          </cell>
          <cell r="D198">
            <v>12</v>
          </cell>
          <cell r="E198">
            <v>122.508450786141</v>
          </cell>
        </row>
        <row r="199">
          <cell r="B199" t="str">
            <v>Troy Franklin</v>
          </cell>
          <cell r="C199" t="str">
            <v>WR90</v>
          </cell>
          <cell r="D199">
            <v>12</v>
          </cell>
          <cell r="E199">
            <v>82.757387738815979</v>
          </cell>
        </row>
        <row r="200">
          <cell r="B200" t="str">
            <v>Jonnu Smith</v>
          </cell>
          <cell r="C200" t="str">
            <v>TE24</v>
          </cell>
          <cell r="D200">
            <v>5</v>
          </cell>
          <cell r="E200">
            <v>121.43317461660001</v>
          </cell>
        </row>
        <row r="201">
          <cell r="B201" t="str">
            <v>Ray-Ray McCloud</v>
          </cell>
          <cell r="C201" t="str">
            <v>WR91</v>
          </cell>
          <cell r="D201">
            <v>5</v>
          </cell>
          <cell r="E201">
            <v>82.201520210788061</v>
          </cell>
        </row>
        <row r="202">
          <cell r="B202" t="str">
            <v>Hollywood Brown</v>
          </cell>
          <cell r="C202" t="str">
            <v>WR92</v>
          </cell>
          <cell r="D202">
            <v>10</v>
          </cell>
          <cell r="E202">
            <v>81.27635347124999</v>
          </cell>
        </row>
        <row r="203">
          <cell r="B203" t="str">
            <v>Chris Rodriguez</v>
          </cell>
          <cell r="C203" t="str">
            <v>RB69</v>
          </cell>
          <cell r="D203">
            <v>12</v>
          </cell>
          <cell r="E203">
            <v>61.011233453831998</v>
          </cell>
        </row>
        <row r="204">
          <cell r="B204" t="str">
            <v>Dontayvion Wicks</v>
          </cell>
          <cell r="C204" t="str">
            <v>WR93</v>
          </cell>
          <cell r="D204">
            <v>5</v>
          </cell>
          <cell r="E204">
            <v>79.858077097344008</v>
          </cell>
        </row>
        <row r="205">
          <cell r="B205" t="str">
            <v>Miles Sanders</v>
          </cell>
          <cell r="C205" t="str">
            <v>RB70</v>
          </cell>
          <cell r="D205">
            <v>10</v>
          </cell>
          <cell r="E205">
            <v>58.135477591616635</v>
          </cell>
        </row>
        <row r="206">
          <cell r="B206" t="str">
            <v>Juwan Johnson</v>
          </cell>
          <cell r="C206" t="str">
            <v>TE25</v>
          </cell>
          <cell r="D206">
            <v>11</v>
          </cell>
          <cell r="E206">
            <v>117.67442836262396</v>
          </cell>
        </row>
        <row r="207">
          <cell r="B207" t="str">
            <v>Jarquez Hunter</v>
          </cell>
          <cell r="C207" t="str">
            <v>RB71</v>
          </cell>
          <cell r="D207">
            <v>8</v>
          </cell>
          <cell r="E207">
            <v>57.54760012434641</v>
          </cell>
        </row>
        <row r="208">
          <cell r="B208" t="str">
            <v>Chris Brooks</v>
          </cell>
          <cell r="C208" t="str">
            <v>RB72</v>
          </cell>
          <cell r="D208">
            <v>5</v>
          </cell>
          <cell r="E208">
            <v>57.02705982220801</v>
          </cell>
        </row>
        <row r="209">
          <cell r="B209" t="str">
            <v>KaVontae Turpin</v>
          </cell>
          <cell r="C209" t="str">
            <v>WR94</v>
          </cell>
          <cell r="D209">
            <v>10</v>
          </cell>
          <cell r="E209">
            <v>77.831112861328748</v>
          </cell>
        </row>
        <row r="210">
          <cell r="B210" t="str">
            <v>Kareem Hunt</v>
          </cell>
          <cell r="C210" t="str">
            <v>RB73</v>
          </cell>
          <cell r="D210">
            <v>10</v>
          </cell>
          <cell r="E210">
            <v>56.673630205258505</v>
          </cell>
        </row>
        <row r="211">
          <cell r="B211" t="str">
            <v>Dalton Schultz</v>
          </cell>
          <cell r="C211" t="str">
            <v>TE26</v>
          </cell>
          <cell r="D211">
            <v>6</v>
          </cell>
          <cell r="E211">
            <v>116.18418219600191</v>
          </cell>
        </row>
        <row r="212">
          <cell r="B212" t="str">
            <v>Geno Smith</v>
          </cell>
          <cell r="C212" t="str">
            <v>QB18</v>
          </cell>
          <cell r="D212">
            <v>8</v>
          </cell>
          <cell r="E212">
            <v>283.77656790978136</v>
          </cell>
        </row>
        <row r="213">
          <cell r="B213" t="str">
            <v>Devin Neal</v>
          </cell>
          <cell r="C213" t="str">
            <v>RB74</v>
          </cell>
          <cell r="D213">
            <v>11</v>
          </cell>
          <cell r="E213">
            <v>54.164503547478795</v>
          </cell>
        </row>
        <row r="214">
          <cell r="B214" t="str">
            <v>Blake Corum</v>
          </cell>
          <cell r="C214" t="str">
            <v>RB75</v>
          </cell>
          <cell r="D214">
            <v>8</v>
          </cell>
          <cell r="E214">
            <v>53.813208202469461</v>
          </cell>
        </row>
        <row r="215">
          <cell r="B215" t="str">
            <v>Kyle Williams</v>
          </cell>
          <cell r="C215" t="str">
            <v>WR95</v>
          </cell>
          <cell r="D215">
            <v>14</v>
          </cell>
          <cell r="E215">
            <v>74.684898007372809</v>
          </cell>
        </row>
        <row r="216">
          <cell r="B216" t="str">
            <v>Samaje Perine</v>
          </cell>
          <cell r="C216" t="str">
            <v>RB76</v>
          </cell>
          <cell r="D216">
            <v>10</v>
          </cell>
          <cell r="E216">
            <v>52.757256261435849</v>
          </cell>
        </row>
        <row r="217">
          <cell r="B217" t="str">
            <v>Justin Herbert</v>
          </cell>
          <cell r="C217" t="str">
            <v>QB19</v>
          </cell>
          <cell r="D217">
            <v>12</v>
          </cell>
          <cell r="E217">
            <v>283.08430310047999</v>
          </cell>
        </row>
        <row r="218">
          <cell r="B218" t="str">
            <v>Chigoziem Okonkwo</v>
          </cell>
          <cell r="C218" t="str">
            <v>TE27</v>
          </cell>
          <cell r="D218">
            <v>10</v>
          </cell>
          <cell r="E218">
            <v>111.80808672485757</v>
          </cell>
        </row>
        <row r="219">
          <cell r="B219" t="str">
            <v>Colston Loveland</v>
          </cell>
          <cell r="C219" t="str">
            <v>TE28</v>
          </cell>
          <cell r="D219">
            <v>5</v>
          </cell>
          <cell r="E219">
            <v>111.4504007594262</v>
          </cell>
        </row>
        <row r="220">
          <cell r="B220" t="str">
            <v>Cade Otton</v>
          </cell>
          <cell r="C220" t="str">
            <v>TE29</v>
          </cell>
          <cell r="D220">
            <v>9</v>
          </cell>
          <cell r="E220">
            <v>111.43051937940723</v>
          </cell>
        </row>
        <row r="221">
          <cell r="B221" t="str">
            <v>Olamide Zaccheaus</v>
          </cell>
          <cell r="C221" t="str">
            <v>WR96</v>
          </cell>
          <cell r="D221">
            <v>5</v>
          </cell>
          <cell r="E221">
            <v>71.700771947212786</v>
          </cell>
        </row>
        <row r="222">
          <cell r="B222" t="str">
            <v>Sam Darnold</v>
          </cell>
          <cell r="C222" t="str">
            <v>QB20</v>
          </cell>
          <cell r="D222">
            <v>8</v>
          </cell>
          <cell r="E222">
            <v>282.39006651855999</v>
          </cell>
        </row>
        <row r="223">
          <cell r="B223" t="str">
            <v>Tyquan Thornton</v>
          </cell>
          <cell r="C223" t="str">
            <v>WR97</v>
          </cell>
          <cell r="D223">
            <v>10</v>
          </cell>
          <cell r="E223">
            <v>70.768542647109996</v>
          </cell>
        </row>
        <row r="224">
          <cell r="B224" t="str">
            <v>Ty Johnson</v>
          </cell>
          <cell r="C224" t="str">
            <v>RB77</v>
          </cell>
          <cell r="D224">
            <v>7</v>
          </cell>
          <cell r="E224">
            <v>46.327257611607187</v>
          </cell>
        </row>
        <row r="225">
          <cell r="B225" t="str">
            <v>Dameon Pierce</v>
          </cell>
          <cell r="C225" t="str">
            <v>RB78</v>
          </cell>
          <cell r="D225">
            <v>6</v>
          </cell>
          <cell r="E225">
            <v>45.345610654890002</v>
          </cell>
        </row>
        <row r="226">
          <cell r="B226" t="str">
            <v>Mack Hollins</v>
          </cell>
          <cell r="C226" t="str">
            <v>WR98</v>
          </cell>
          <cell r="D226">
            <v>14</v>
          </cell>
          <cell r="E226">
            <v>67.064061484062719</v>
          </cell>
        </row>
        <row r="227">
          <cell r="B227" t="str">
            <v>Jermaine Burton</v>
          </cell>
          <cell r="C227" t="str">
            <v>WR99</v>
          </cell>
          <cell r="D227">
            <v>10</v>
          </cell>
          <cell r="E227">
            <v>66.565172593473136</v>
          </cell>
        </row>
        <row r="228">
          <cell r="B228" t="str">
            <v>Tua Tagovailoa</v>
          </cell>
          <cell r="C228" t="str">
            <v>QB21</v>
          </cell>
          <cell r="D228">
            <v>12</v>
          </cell>
          <cell r="E228">
            <v>279.41468162531413</v>
          </cell>
        </row>
        <row r="229">
          <cell r="B229" t="str">
            <v>Greg Dortch</v>
          </cell>
          <cell r="C229" t="str">
            <v>WR100</v>
          </cell>
          <cell r="D229">
            <v>8</v>
          </cell>
          <cell r="E229">
            <v>64.571618564381083</v>
          </cell>
        </row>
        <row r="230">
          <cell r="B230" t="str">
            <v>Allen Lazard</v>
          </cell>
          <cell r="C230" t="str">
            <v>WR101</v>
          </cell>
          <cell r="D230">
            <v>9</v>
          </cell>
          <cell r="E230">
            <v>64.189684671499833</v>
          </cell>
        </row>
        <row r="231">
          <cell r="B231" t="str">
            <v>Jalen Tolbert</v>
          </cell>
          <cell r="C231" t="str">
            <v>WR102</v>
          </cell>
          <cell r="D231">
            <v>10</v>
          </cell>
          <cell r="E231">
            <v>64.163890259083445</v>
          </cell>
        </row>
        <row r="232">
          <cell r="B232" t="str">
            <v>Devaughn Vele</v>
          </cell>
          <cell r="C232" t="str">
            <v>WR103</v>
          </cell>
          <cell r="D232">
            <v>11</v>
          </cell>
          <cell r="E232">
            <v>63.853578617323599</v>
          </cell>
        </row>
        <row r="233">
          <cell r="B233" t="str">
            <v>Isaac Guerendo</v>
          </cell>
          <cell r="C233" t="str">
            <v>RB79</v>
          </cell>
          <cell r="D233">
            <v>14</v>
          </cell>
          <cell r="E233">
            <v>38.834099034577541</v>
          </cell>
        </row>
        <row r="234">
          <cell r="B234" t="str">
            <v>Jahan Dotson</v>
          </cell>
          <cell r="C234" t="str">
            <v>WR104</v>
          </cell>
          <cell r="D234">
            <v>9</v>
          </cell>
          <cell r="E234">
            <v>62.788720060921989</v>
          </cell>
        </row>
        <row r="235">
          <cell r="B235" t="str">
            <v>Isaiah Bond</v>
          </cell>
          <cell r="C235" t="str">
            <v>WR105</v>
          </cell>
          <cell r="D235">
            <v>9</v>
          </cell>
          <cell r="E235">
            <v>62.776689475184995</v>
          </cell>
        </row>
        <row r="236">
          <cell r="B236" t="str">
            <v>Jamari Thrash</v>
          </cell>
          <cell r="C236" t="str">
            <v>WR106</v>
          </cell>
          <cell r="D236">
            <v>9</v>
          </cell>
          <cell r="E236">
            <v>62.469778283639997</v>
          </cell>
        </row>
        <row r="237">
          <cell r="B237" t="str">
            <v>Isaiah Davis</v>
          </cell>
          <cell r="C237" t="str">
            <v>RB80</v>
          </cell>
          <cell r="D237">
            <v>9</v>
          </cell>
          <cell r="E237">
            <v>36.922627144607731</v>
          </cell>
        </row>
        <row r="238">
          <cell r="B238" t="str">
            <v>Tre Tucker</v>
          </cell>
          <cell r="C238" t="str">
            <v>WR107</v>
          </cell>
          <cell r="D238">
            <v>8</v>
          </cell>
          <cell r="E238">
            <v>61.91571204000001</v>
          </cell>
        </row>
        <row r="239">
          <cell r="B239" t="str">
            <v>Jordan Love</v>
          </cell>
          <cell r="C239" t="str">
            <v>QB22</v>
          </cell>
          <cell r="D239">
            <v>5</v>
          </cell>
          <cell r="E239">
            <v>274.38326973241618</v>
          </cell>
        </row>
        <row r="240">
          <cell r="B240" t="str">
            <v>Pat Bryant</v>
          </cell>
          <cell r="C240" t="str">
            <v>WR108</v>
          </cell>
          <cell r="D240">
            <v>12</v>
          </cell>
          <cell r="E240">
            <v>60.70164905168</v>
          </cell>
        </row>
        <row r="241">
          <cell r="B241" t="str">
            <v>Brandin Cooks</v>
          </cell>
          <cell r="C241" t="str">
            <v>WR109</v>
          </cell>
          <cell r="D241">
            <v>11</v>
          </cell>
          <cell r="E241">
            <v>60.547149380748792</v>
          </cell>
        </row>
        <row r="242">
          <cell r="B242" t="str">
            <v>Kayshon Boutte</v>
          </cell>
          <cell r="C242" t="str">
            <v>WR110</v>
          </cell>
          <cell r="D242">
            <v>14</v>
          </cell>
          <cell r="E242">
            <v>60.112145078576638</v>
          </cell>
        </row>
        <row r="243">
          <cell r="B243" t="str">
            <v>Bryce Young</v>
          </cell>
          <cell r="C243" t="str">
            <v>QB23</v>
          </cell>
          <cell r="D243">
            <v>14</v>
          </cell>
          <cell r="E243">
            <v>272.86384063636029</v>
          </cell>
        </row>
        <row r="244">
          <cell r="B244" t="str">
            <v>MarShawn Lloyd</v>
          </cell>
          <cell r="C244" t="str">
            <v>RB81</v>
          </cell>
          <cell r="D244">
            <v>5</v>
          </cell>
          <cell r="E244">
            <v>31.847149809865599</v>
          </cell>
        </row>
        <row r="245">
          <cell r="B245" t="str">
            <v>Sean Tucker</v>
          </cell>
          <cell r="C245" t="str">
            <v>RB82</v>
          </cell>
          <cell r="D245">
            <v>9</v>
          </cell>
          <cell r="E245">
            <v>31.406963257329583</v>
          </cell>
        </row>
        <row r="246">
          <cell r="B246" t="str">
            <v>AJ Dillon</v>
          </cell>
          <cell r="C246" t="str">
            <v>RB83</v>
          </cell>
          <cell r="D246">
            <v>9</v>
          </cell>
          <cell r="E246">
            <v>30.942802931403612</v>
          </cell>
        </row>
        <row r="247">
          <cell r="B247" t="str">
            <v>Jaleel McLaughlin</v>
          </cell>
          <cell r="C247" t="str">
            <v>RB84</v>
          </cell>
          <cell r="D247">
            <v>12</v>
          </cell>
          <cell r="E247">
            <v>30.431896707519996</v>
          </cell>
        </row>
        <row r="248">
          <cell r="B248" t="str">
            <v>Trevor Etienne</v>
          </cell>
          <cell r="C248" t="str">
            <v>RB85</v>
          </cell>
          <cell r="D248">
            <v>14</v>
          </cell>
          <cell r="E248">
            <v>30.285390567629051</v>
          </cell>
        </row>
        <row r="249">
          <cell r="B249" t="str">
            <v>Antonio Gibson</v>
          </cell>
          <cell r="C249" t="str">
            <v>RB86</v>
          </cell>
          <cell r="D249">
            <v>14</v>
          </cell>
          <cell r="E249">
            <v>27.969815909524979</v>
          </cell>
        </row>
        <row r="250">
          <cell r="B250" t="str">
            <v>Emanuel Wilson</v>
          </cell>
          <cell r="C250" t="str">
            <v>RB87</v>
          </cell>
          <cell r="D250">
            <v>5</v>
          </cell>
          <cell r="E250">
            <v>27.902675759751773</v>
          </cell>
        </row>
        <row r="251">
          <cell r="B251" t="str">
            <v>Pat Freiermuth</v>
          </cell>
          <cell r="C251" t="str">
            <v>TE30</v>
          </cell>
          <cell r="D251">
            <v>5</v>
          </cell>
          <cell r="E251">
            <v>93.507749194859997</v>
          </cell>
        </row>
        <row r="252">
          <cell r="B252" t="str">
            <v>Michael Penix Jr</v>
          </cell>
          <cell r="C252" t="str">
            <v>QB24</v>
          </cell>
          <cell r="D252">
            <v>5</v>
          </cell>
          <cell r="E252">
            <v>270.88156750548097</v>
          </cell>
        </row>
        <row r="253">
          <cell r="B253" t="str">
            <v>Craig Reynolds</v>
          </cell>
          <cell r="C253" t="str">
            <v>RB88</v>
          </cell>
          <cell r="D253">
            <v>8</v>
          </cell>
          <cell r="E253">
            <v>25.151942131882389</v>
          </cell>
        </row>
        <row r="254">
          <cell r="B254" t="str">
            <v>Mike Gesicki</v>
          </cell>
          <cell r="C254" t="str">
            <v>TE31</v>
          </cell>
          <cell r="D254">
            <v>10</v>
          </cell>
          <cell r="E254">
            <v>91.23799429591628</v>
          </cell>
        </row>
        <row r="255">
          <cell r="B255" t="str">
            <v>Terrance Ferguson</v>
          </cell>
          <cell r="C255" t="str">
            <v>TE32</v>
          </cell>
          <cell r="D255">
            <v>8</v>
          </cell>
          <cell r="E255">
            <v>90.713457120746298</v>
          </cell>
        </row>
        <row r="256">
          <cell r="B256" t="str">
            <v>Devin Singletary</v>
          </cell>
          <cell r="C256" t="str">
            <v>RB89</v>
          </cell>
          <cell r="D256">
            <v>14</v>
          </cell>
          <cell r="E256">
            <v>22.927394672841022</v>
          </cell>
        </row>
        <row r="257">
          <cell r="B257" t="str">
            <v>George Holani</v>
          </cell>
          <cell r="C257" t="str">
            <v>RB90</v>
          </cell>
          <cell r="D257">
            <v>8</v>
          </cell>
          <cell r="E257">
            <v>21.450531510407128</v>
          </cell>
        </row>
        <row r="258">
          <cell r="B258" t="str">
            <v>Justice Hill</v>
          </cell>
          <cell r="C258" t="str">
            <v>RB91</v>
          </cell>
          <cell r="D258">
            <v>7</v>
          </cell>
          <cell r="E258">
            <v>21.037244393935083</v>
          </cell>
        </row>
        <row r="259">
          <cell r="B259" t="str">
            <v>JJ McCarthy</v>
          </cell>
          <cell r="C259" t="str">
            <v>QB25</v>
          </cell>
          <cell r="D259">
            <v>6</v>
          </cell>
          <cell r="E259">
            <v>266.84551510499995</v>
          </cell>
        </row>
        <row r="260">
          <cell r="B260" t="str">
            <v>Tyler Goodson</v>
          </cell>
          <cell r="C260" t="str">
            <v>RB92</v>
          </cell>
          <cell r="D260">
            <v>11</v>
          </cell>
          <cell r="E260">
            <v>19.083974877743998</v>
          </cell>
        </row>
        <row r="261">
          <cell r="B261" t="str">
            <v>Nathan Carter</v>
          </cell>
          <cell r="C261" t="str">
            <v>RB93</v>
          </cell>
          <cell r="D261">
            <v>5</v>
          </cell>
          <cell r="E261">
            <v>17.814529871975928</v>
          </cell>
        </row>
        <row r="262">
          <cell r="B262" t="str">
            <v>Hassan Haskins</v>
          </cell>
          <cell r="C262" t="str">
            <v>RB94</v>
          </cell>
          <cell r="D262">
            <v>12</v>
          </cell>
          <cell r="E262">
            <v>17.802170740216802</v>
          </cell>
        </row>
        <row r="263">
          <cell r="B263" t="str">
            <v>LeQuint Allen</v>
          </cell>
          <cell r="C263" t="str">
            <v>RB95</v>
          </cell>
          <cell r="D263">
            <v>8</v>
          </cell>
          <cell r="E263">
            <v>16.890986912301599</v>
          </cell>
        </row>
        <row r="264">
          <cell r="B264" t="str">
            <v>Raheim Sanders</v>
          </cell>
          <cell r="C264" t="str">
            <v>RB96</v>
          </cell>
          <cell r="D264">
            <v>9</v>
          </cell>
          <cell r="E264">
            <v>16.25019793005</v>
          </cell>
        </row>
        <row r="265">
          <cell r="B265" t="str">
            <v>Jeremy McNichols</v>
          </cell>
          <cell r="C265" t="str">
            <v>RB97</v>
          </cell>
          <cell r="D265">
            <v>12</v>
          </cell>
          <cell r="E265">
            <v>15.143842916105594</v>
          </cell>
        </row>
        <row r="266">
          <cell r="B266" t="str">
            <v>DeeJay Dallas</v>
          </cell>
          <cell r="C266" t="str">
            <v>RB98</v>
          </cell>
          <cell r="D266">
            <v>8</v>
          </cell>
          <cell r="E266">
            <v>15.047562002057022</v>
          </cell>
        </row>
        <row r="267">
          <cell r="B267" t="str">
            <v>Jordan James</v>
          </cell>
          <cell r="C267" t="str">
            <v>RB99</v>
          </cell>
          <cell r="D267">
            <v>14</v>
          </cell>
          <cell r="E267">
            <v>15.034341515610889</v>
          </cell>
        </row>
        <row r="268">
          <cell r="B268" t="str">
            <v>Elijah Mitchell</v>
          </cell>
          <cell r="C268" t="str">
            <v>RB100</v>
          </cell>
          <cell r="D268">
            <v>10</v>
          </cell>
          <cell r="E268">
            <v>14.620433618699996</v>
          </cell>
        </row>
        <row r="269">
          <cell r="B269" t="str">
            <v>Cam Ward</v>
          </cell>
          <cell r="C269" t="str">
            <v>QB26</v>
          </cell>
          <cell r="D269">
            <v>10</v>
          </cell>
          <cell r="E269">
            <v>261.90983072113136</v>
          </cell>
        </row>
        <row r="270">
          <cell r="B270" t="str">
            <v>AJ Barner</v>
          </cell>
          <cell r="C270" t="str">
            <v>TE33</v>
          </cell>
          <cell r="D270">
            <v>8</v>
          </cell>
          <cell r="E270">
            <v>78.429251928867828</v>
          </cell>
        </row>
        <row r="271">
          <cell r="B271" t="str">
            <v>Michael Mayer</v>
          </cell>
          <cell r="C271" t="str">
            <v>TE34</v>
          </cell>
          <cell r="D271">
            <v>8</v>
          </cell>
          <cell r="E271">
            <v>76.209055169804643</v>
          </cell>
        </row>
        <row r="272">
          <cell r="B272" t="str">
            <v>Ben Sinnott</v>
          </cell>
          <cell r="C272" t="str">
            <v>TE35</v>
          </cell>
          <cell r="D272">
            <v>12</v>
          </cell>
          <cell r="E272">
            <v>71.393825380941877</v>
          </cell>
        </row>
        <row r="273">
          <cell r="B273" t="str">
            <v>Noah Gray</v>
          </cell>
          <cell r="C273" t="str">
            <v>TE36</v>
          </cell>
          <cell r="D273">
            <v>10</v>
          </cell>
          <cell r="E273">
            <v>68.042064497819993</v>
          </cell>
        </row>
        <row r="274">
          <cell r="B274" t="str">
            <v>Cole Kmet</v>
          </cell>
          <cell r="C274" t="str">
            <v>TE37</v>
          </cell>
          <cell r="D274">
            <v>5</v>
          </cell>
          <cell r="E274">
            <v>67.701999441114481</v>
          </cell>
        </row>
        <row r="275">
          <cell r="B275" t="str">
            <v>Aaron Rodgers</v>
          </cell>
          <cell r="C275" t="str">
            <v>QB27</v>
          </cell>
          <cell r="D275">
            <v>5</v>
          </cell>
          <cell r="E275">
            <v>248.36390297780997</v>
          </cell>
        </row>
        <row r="276">
          <cell r="B276" t="str">
            <v>Elijah Arroyo</v>
          </cell>
          <cell r="C276" t="str">
            <v>TE38</v>
          </cell>
          <cell r="D276">
            <v>8</v>
          </cell>
          <cell r="E276">
            <v>67.439605214741761</v>
          </cell>
        </row>
        <row r="277">
          <cell r="B277" t="str">
            <v>Tyler Higbee</v>
          </cell>
          <cell r="C277" t="str">
            <v>TE39</v>
          </cell>
          <cell r="D277">
            <v>8</v>
          </cell>
          <cell r="E277">
            <v>64.923040548491713</v>
          </cell>
        </row>
        <row r="278">
          <cell r="B278" t="str">
            <v>Harold Fannin</v>
          </cell>
          <cell r="C278" t="str">
            <v>TE40</v>
          </cell>
          <cell r="D278">
            <v>9</v>
          </cell>
          <cell r="E278">
            <v>57.63852788668914</v>
          </cell>
        </row>
        <row r="279">
          <cell r="B279" t="str">
            <v>Tyler Conklin</v>
          </cell>
          <cell r="C279" t="str">
            <v>TE41</v>
          </cell>
          <cell r="D279">
            <v>12</v>
          </cell>
          <cell r="E279">
            <v>56.916425648968193</v>
          </cell>
        </row>
        <row r="280">
          <cell r="B280" t="str">
            <v>Matthew Stafford</v>
          </cell>
          <cell r="C280" t="str">
            <v>QB28</v>
          </cell>
          <cell r="D280">
            <v>8</v>
          </cell>
          <cell r="E280">
            <v>236.88977804227537</v>
          </cell>
        </row>
        <row r="281">
          <cell r="B281" t="str">
            <v>Oronde Gadsden</v>
          </cell>
          <cell r="C281" t="str">
            <v>TE42</v>
          </cell>
          <cell r="D281">
            <v>12</v>
          </cell>
          <cell r="E281">
            <v>50.420329997519993</v>
          </cell>
        </row>
        <row r="282">
          <cell r="B282" t="str">
            <v>Noah Fant</v>
          </cell>
          <cell r="C282" t="str">
            <v>TE43</v>
          </cell>
          <cell r="D282">
            <v>10</v>
          </cell>
          <cell r="E282">
            <v>45.888857767537687</v>
          </cell>
        </row>
        <row r="283">
          <cell r="B283" t="str">
            <v>Tommy Tremble</v>
          </cell>
          <cell r="C283" t="str">
            <v>TE44</v>
          </cell>
          <cell r="D283">
            <v>14</v>
          </cell>
          <cell r="E283">
            <v>43.036725925997992</v>
          </cell>
        </row>
        <row r="284">
          <cell r="B284" t="str">
            <v>Dawson Knox</v>
          </cell>
          <cell r="C284" t="str">
            <v>TE45</v>
          </cell>
          <cell r="D284">
            <v>7</v>
          </cell>
          <cell r="E284">
            <v>41.716471054962597</v>
          </cell>
        </row>
        <row r="285">
          <cell r="B285" t="str">
            <v>Austin Hooper</v>
          </cell>
          <cell r="C285" t="str">
            <v>TE46</v>
          </cell>
          <cell r="D285">
            <v>14</v>
          </cell>
          <cell r="E285">
            <v>39.05684684778241</v>
          </cell>
        </row>
        <row r="286">
          <cell r="B286" t="str">
            <v>Luke Musgrave</v>
          </cell>
          <cell r="C286" t="str">
            <v>TE47</v>
          </cell>
          <cell r="D286">
            <v>5</v>
          </cell>
          <cell r="E286">
            <v>38.991789084364669</v>
          </cell>
        </row>
        <row r="287">
          <cell r="B287" t="str">
            <v>Foster Moreau</v>
          </cell>
          <cell r="C287" t="str">
            <v>TE48</v>
          </cell>
          <cell r="D287">
            <v>11</v>
          </cell>
          <cell r="E287">
            <v>37.025745311013196</v>
          </cell>
        </row>
        <row r="288">
          <cell r="B288" t="str">
            <v>Daniel Bellinger</v>
          </cell>
          <cell r="C288" t="str">
            <v>TE49</v>
          </cell>
          <cell r="D288">
            <v>14</v>
          </cell>
          <cell r="E288">
            <v>34.474723840832446</v>
          </cell>
        </row>
        <row r="289">
          <cell r="B289" t="str">
            <v>Luke Schoonmaker</v>
          </cell>
          <cell r="C289" t="str">
            <v>TE50</v>
          </cell>
          <cell r="D289">
            <v>10</v>
          </cell>
          <cell r="E289">
            <v>34.120238830436328</v>
          </cell>
        </row>
        <row r="290">
          <cell r="B290" t="str">
            <v>Daniel Jones</v>
          </cell>
          <cell r="C290" t="str">
            <v>QB29</v>
          </cell>
          <cell r="D290">
            <v>11</v>
          </cell>
          <cell r="E290">
            <v>182.06015661722085</v>
          </cell>
        </row>
        <row r="291">
          <cell r="B291" t="str">
            <v>Russell Wilson</v>
          </cell>
          <cell r="C291" t="str">
            <v>QB30</v>
          </cell>
          <cell r="D291">
            <v>14</v>
          </cell>
          <cell r="E291">
            <v>167.12126996849997</v>
          </cell>
        </row>
        <row r="292">
          <cell r="B292" t="str">
            <v>Spencer Rattler</v>
          </cell>
          <cell r="C292" t="str">
            <v>QB31</v>
          </cell>
          <cell r="D292">
            <v>11</v>
          </cell>
          <cell r="E292">
            <v>150.94587505759995</v>
          </cell>
        </row>
        <row r="293">
          <cell r="B293" t="str">
            <v>Joe Flacco</v>
          </cell>
          <cell r="C293" t="str">
            <v>QB32</v>
          </cell>
          <cell r="D293">
            <v>9</v>
          </cell>
          <cell r="E293">
            <v>144.60535908000003</v>
          </cell>
        </row>
        <row r="294">
          <cell r="B294" t="str">
            <v>Anthony Richardson</v>
          </cell>
          <cell r="C294" t="str">
            <v>QB33</v>
          </cell>
          <cell r="D294">
            <v>11</v>
          </cell>
          <cell r="E294">
            <v>113.61354353207437</v>
          </cell>
        </row>
        <row r="295">
          <cell r="B295" t="str">
            <v>Tyler Shough</v>
          </cell>
          <cell r="C295" t="str">
            <v>QB34</v>
          </cell>
          <cell r="D295">
            <v>11</v>
          </cell>
          <cell r="E295">
            <v>71.499970449599971</v>
          </cell>
        </row>
        <row r="296">
          <cell r="B296" t="str">
            <v>Jaxson Dart</v>
          </cell>
          <cell r="C296" t="str">
            <v>QB35</v>
          </cell>
          <cell r="D296">
            <v>14</v>
          </cell>
          <cell r="E296">
            <v>70.901424023040008</v>
          </cell>
        </row>
        <row r="297">
          <cell r="B297" t="str">
            <v>Dillon Gabriel</v>
          </cell>
          <cell r="C297" t="str">
            <v>QB36</v>
          </cell>
          <cell r="D297">
            <v>9</v>
          </cell>
          <cell r="E297">
            <v>47.820463253724029</v>
          </cell>
        </row>
        <row r="298">
          <cell r="B298" t="str">
            <v>Jimmy Garoppolo</v>
          </cell>
          <cell r="C298" t="str">
            <v>QB37</v>
          </cell>
          <cell r="D298">
            <v>8</v>
          </cell>
          <cell r="E298">
            <v>39.127237214301985</v>
          </cell>
        </row>
        <row r="299">
          <cell r="B299" t="str">
            <v>Shedeur Sanders</v>
          </cell>
          <cell r="C299" t="str">
            <v>QB38</v>
          </cell>
          <cell r="D299">
            <v>9</v>
          </cell>
          <cell r="E299">
            <v>37.449807674999995</v>
          </cell>
        </row>
        <row r="300">
          <cell r="B300" t="str">
            <v>Tyrod Taylor</v>
          </cell>
          <cell r="C300" t="str">
            <v>QB39</v>
          </cell>
          <cell r="D300">
            <v>9</v>
          </cell>
          <cell r="E300">
            <v>24.387857744388281</v>
          </cell>
        </row>
        <row r="301">
          <cell r="B301" t="str">
            <v>Jameis Winston</v>
          </cell>
          <cell r="C301" t="str">
            <v>QB40</v>
          </cell>
          <cell r="D301">
            <v>14</v>
          </cell>
          <cell r="E301">
            <v>19.510935451832093</v>
          </cell>
        </row>
      </sheetData>
      <sheetData sheetId="1">
        <row r="1">
          <cell r="B1" t="str">
            <v>OVERALL PLAYER</v>
          </cell>
          <cell r="C1" t="str">
            <v>POS RK</v>
          </cell>
          <cell r="D1" t="str">
            <v>BYE</v>
          </cell>
          <cell r="E1" t="str">
            <v>FPS</v>
          </cell>
        </row>
        <row r="2">
          <cell r="B2" t="str">
            <v>Christian McCaffrey</v>
          </cell>
          <cell r="C2" t="str">
            <v>RB1</v>
          </cell>
          <cell r="D2">
            <v>14</v>
          </cell>
          <cell r="E2">
            <v>311.12829396085749</v>
          </cell>
        </row>
        <row r="3">
          <cell r="B3" t="str">
            <v>Ja'Marr Chase</v>
          </cell>
          <cell r="C3" t="str">
            <v>WR1</v>
          </cell>
          <cell r="D3">
            <v>10</v>
          </cell>
          <cell r="E3">
            <v>260.96237990454921</v>
          </cell>
        </row>
        <row r="4">
          <cell r="B4" t="str">
            <v>CeeDee Lamb</v>
          </cell>
          <cell r="C4" t="str">
            <v>WR2</v>
          </cell>
          <cell r="D4">
            <v>10</v>
          </cell>
          <cell r="E4">
            <v>248.09917847326025</v>
          </cell>
        </row>
        <row r="5">
          <cell r="B5" t="str">
            <v>Jahmyr Gibbs</v>
          </cell>
          <cell r="C5" t="str">
            <v>RB2</v>
          </cell>
          <cell r="D5">
            <v>8</v>
          </cell>
          <cell r="E5">
            <v>283.12122831683365</v>
          </cell>
        </row>
        <row r="6">
          <cell r="B6" t="str">
            <v>Justin Jefferson</v>
          </cell>
          <cell r="C6" t="str">
            <v>WR3</v>
          </cell>
          <cell r="D6">
            <v>6</v>
          </cell>
          <cell r="E6">
            <v>240.6831019756799</v>
          </cell>
        </row>
        <row r="7">
          <cell r="B7" t="str">
            <v>Puka Nacua</v>
          </cell>
          <cell r="C7" t="str">
            <v>WR4</v>
          </cell>
          <cell r="D7">
            <v>8</v>
          </cell>
          <cell r="E7">
            <v>235.41509659447604</v>
          </cell>
        </row>
        <row r="8">
          <cell r="B8" t="str">
            <v>Bijan Robinson</v>
          </cell>
          <cell r="C8" t="str">
            <v>RB3</v>
          </cell>
          <cell r="D8">
            <v>5</v>
          </cell>
          <cell r="E8">
            <v>274.99155587933097</v>
          </cell>
        </row>
        <row r="9">
          <cell r="B9" t="str">
            <v>Amon-Ra St Brown</v>
          </cell>
          <cell r="C9" t="str">
            <v>WR5</v>
          </cell>
          <cell r="D9">
            <v>8</v>
          </cell>
          <cell r="E9">
            <v>233.79023961784787</v>
          </cell>
        </row>
        <row r="10">
          <cell r="B10" t="str">
            <v>Saquon Barkley</v>
          </cell>
          <cell r="C10" t="str">
            <v>RB4</v>
          </cell>
          <cell r="D10">
            <v>9</v>
          </cell>
          <cell r="E10">
            <v>265.40973331263194</v>
          </cell>
        </row>
        <row r="11">
          <cell r="B11" t="str">
            <v>Derrick Henry</v>
          </cell>
          <cell r="C11" t="str">
            <v>RB5</v>
          </cell>
          <cell r="D11">
            <v>7</v>
          </cell>
          <cell r="E11">
            <v>264.05379922990761</v>
          </cell>
        </row>
        <row r="12">
          <cell r="B12" t="str">
            <v>Bucky Irving</v>
          </cell>
          <cell r="C12" t="str">
            <v>RB6</v>
          </cell>
          <cell r="D12">
            <v>9</v>
          </cell>
          <cell r="E12">
            <v>262.6742505295004</v>
          </cell>
        </row>
        <row r="13">
          <cell r="B13" t="str">
            <v>Brian Thomas Jr</v>
          </cell>
          <cell r="C13" t="str">
            <v>WR6</v>
          </cell>
          <cell r="D13">
            <v>8</v>
          </cell>
          <cell r="E13">
            <v>224.49357309730425</v>
          </cell>
        </row>
        <row r="14">
          <cell r="B14" t="str">
            <v>Drake London</v>
          </cell>
          <cell r="C14" t="str">
            <v>WR7</v>
          </cell>
          <cell r="D14">
            <v>5</v>
          </cell>
          <cell r="E14">
            <v>224.27475563001605</v>
          </cell>
        </row>
        <row r="15">
          <cell r="B15" t="str">
            <v>Malik Nabers</v>
          </cell>
          <cell r="C15" t="str">
            <v>WR8</v>
          </cell>
          <cell r="D15">
            <v>14</v>
          </cell>
          <cell r="E15">
            <v>221.96074211621766</v>
          </cell>
        </row>
        <row r="16">
          <cell r="B16" t="str">
            <v>Nico Collins</v>
          </cell>
          <cell r="C16" t="str">
            <v>WR9</v>
          </cell>
          <cell r="D16">
            <v>6</v>
          </cell>
          <cell r="E16">
            <v>217.55217071403814</v>
          </cell>
        </row>
        <row r="17">
          <cell r="B17" t="str">
            <v>Jaxon Smith-Njigba</v>
          </cell>
          <cell r="C17" t="str">
            <v>WR10</v>
          </cell>
          <cell r="D17">
            <v>8</v>
          </cell>
          <cell r="E17">
            <v>217.28538918102009</v>
          </cell>
        </row>
        <row r="18">
          <cell r="B18" t="str">
            <v>Tyreek Hill</v>
          </cell>
          <cell r="C18" t="str">
            <v>WR11</v>
          </cell>
          <cell r="D18">
            <v>12</v>
          </cell>
          <cell r="E18">
            <v>216.07226228173829</v>
          </cell>
        </row>
        <row r="19">
          <cell r="B19" t="str">
            <v>Josh Jacobs</v>
          </cell>
          <cell r="C19" t="str">
            <v>RB7</v>
          </cell>
          <cell r="D19">
            <v>5</v>
          </cell>
          <cell r="E19">
            <v>250.07547608653235</v>
          </cell>
        </row>
        <row r="20">
          <cell r="B20" t="str">
            <v>Davante Adams</v>
          </cell>
          <cell r="C20" t="str">
            <v>WR12</v>
          </cell>
          <cell r="D20">
            <v>8</v>
          </cell>
          <cell r="E20">
            <v>214.9929863445752</v>
          </cell>
        </row>
        <row r="21">
          <cell r="B21" t="str">
            <v>De'Von Achane</v>
          </cell>
          <cell r="C21" t="str">
            <v>RB8</v>
          </cell>
          <cell r="D21">
            <v>12</v>
          </cell>
          <cell r="E21">
            <v>249.3592015048844</v>
          </cell>
        </row>
        <row r="22">
          <cell r="B22" t="str">
            <v>Tee Higgins</v>
          </cell>
          <cell r="C22" t="str">
            <v>WR13</v>
          </cell>
          <cell r="D22">
            <v>10</v>
          </cell>
          <cell r="E22">
            <v>214.0850568439464</v>
          </cell>
        </row>
        <row r="23">
          <cell r="B23" t="str">
            <v>Jameson Williams</v>
          </cell>
          <cell r="C23" t="str">
            <v>WR14</v>
          </cell>
          <cell r="D23">
            <v>8</v>
          </cell>
          <cell r="E23">
            <v>209.38899668449656</v>
          </cell>
        </row>
        <row r="24">
          <cell r="B24" t="str">
            <v>Jonathan Taylor</v>
          </cell>
          <cell r="C24" t="str">
            <v>RB9</v>
          </cell>
          <cell r="D24">
            <v>11</v>
          </cell>
          <cell r="E24">
            <v>239.62629416200943</v>
          </cell>
        </row>
        <row r="25">
          <cell r="B25" t="str">
            <v>Kyren Williams</v>
          </cell>
          <cell r="C25" t="str">
            <v>RB10</v>
          </cell>
          <cell r="D25">
            <v>8</v>
          </cell>
          <cell r="E25">
            <v>238.93115530890208</v>
          </cell>
        </row>
        <row r="26">
          <cell r="B26" t="str">
            <v>Mike Evans</v>
          </cell>
          <cell r="C26" t="str">
            <v>WR15</v>
          </cell>
          <cell r="D26">
            <v>9</v>
          </cell>
          <cell r="E26">
            <v>205.46637021054147</v>
          </cell>
        </row>
        <row r="27">
          <cell r="B27" t="str">
            <v>Terry McLaurin</v>
          </cell>
          <cell r="C27" t="str">
            <v>WR16</v>
          </cell>
          <cell r="D27">
            <v>12</v>
          </cell>
          <cell r="E27">
            <v>205.14904505838609</v>
          </cell>
        </row>
        <row r="28">
          <cell r="B28" t="str">
            <v>Alvin Kamara</v>
          </cell>
          <cell r="C28" t="str">
            <v>RB11</v>
          </cell>
          <cell r="D28">
            <v>11</v>
          </cell>
          <cell r="E28">
            <v>237.14694002647201</v>
          </cell>
        </row>
        <row r="29">
          <cell r="B29" t="str">
            <v>Ladd McConkey</v>
          </cell>
          <cell r="C29" t="str">
            <v>WR17</v>
          </cell>
          <cell r="D29">
            <v>12</v>
          </cell>
          <cell r="E29">
            <v>202.14076284273199</v>
          </cell>
        </row>
        <row r="30">
          <cell r="B30" t="str">
            <v>Xavier Worthy</v>
          </cell>
          <cell r="C30" t="str">
            <v>WR18</v>
          </cell>
          <cell r="D30">
            <v>10</v>
          </cell>
          <cell r="E30">
            <v>201.37468990804024</v>
          </cell>
        </row>
        <row r="31">
          <cell r="B31" t="str">
            <v>Chase Brown</v>
          </cell>
          <cell r="C31" t="str">
            <v>RB12</v>
          </cell>
          <cell r="D31">
            <v>10</v>
          </cell>
          <cell r="E31">
            <v>232.30900052091897</v>
          </cell>
        </row>
        <row r="32">
          <cell r="B32" t="str">
            <v>Calvin Ridley</v>
          </cell>
          <cell r="C32" t="str">
            <v>WR19</v>
          </cell>
          <cell r="D32">
            <v>10</v>
          </cell>
          <cell r="E32">
            <v>200.06558497870557</v>
          </cell>
        </row>
        <row r="33">
          <cell r="B33" t="str">
            <v>Ashton Jeanty</v>
          </cell>
          <cell r="C33" t="str">
            <v>RB13</v>
          </cell>
          <cell r="D33">
            <v>8</v>
          </cell>
          <cell r="E33">
            <v>227.18266591463239</v>
          </cell>
        </row>
        <row r="34">
          <cell r="B34" t="str">
            <v>DK Metcalf</v>
          </cell>
          <cell r="C34" t="str">
            <v>WR20</v>
          </cell>
          <cell r="D34">
            <v>5</v>
          </cell>
          <cell r="E34">
            <v>196.47901537110002</v>
          </cell>
        </row>
        <row r="35">
          <cell r="B35" t="str">
            <v>Omarion Hampton</v>
          </cell>
          <cell r="C35" t="str">
            <v>RB14</v>
          </cell>
          <cell r="D35">
            <v>12</v>
          </cell>
          <cell r="E35">
            <v>225.64364162591997</v>
          </cell>
        </row>
        <row r="36">
          <cell r="B36" t="str">
            <v>AJ Brown</v>
          </cell>
          <cell r="C36" t="str">
            <v>WR21</v>
          </cell>
          <cell r="D36">
            <v>9</v>
          </cell>
          <cell r="E36">
            <v>192.51471797988398</v>
          </cell>
        </row>
        <row r="37">
          <cell r="B37" t="str">
            <v>Ricky Pearsall</v>
          </cell>
          <cell r="C37" t="str">
            <v>WR22</v>
          </cell>
          <cell r="D37">
            <v>14</v>
          </cell>
          <cell r="E37">
            <v>192.12217336045441</v>
          </cell>
        </row>
        <row r="38">
          <cell r="B38" t="str">
            <v>George Pickens</v>
          </cell>
          <cell r="C38" t="str">
            <v>WR23</v>
          </cell>
          <cell r="D38">
            <v>10</v>
          </cell>
          <cell r="E38">
            <v>192.02389772880491</v>
          </cell>
        </row>
        <row r="39">
          <cell r="B39" t="str">
            <v>Courtland Sutton</v>
          </cell>
          <cell r="C39" t="str">
            <v>WR24</v>
          </cell>
          <cell r="D39">
            <v>12</v>
          </cell>
          <cell r="E39">
            <v>190.11935624192</v>
          </cell>
        </row>
        <row r="40">
          <cell r="B40" t="str">
            <v>Emeka Egbuka</v>
          </cell>
          <cell r="C40" t="str">
            <v>WR25</v>
          </cell>
          <cell r="D40">
            <v>9</v>
          </cell>
          <cell r="E40">
            <v>189.33158481700096</v>
          </cell>
        </row>
        <row r="41">
          <cell r="B41" t="str">
            <v>Tetairoa McMillan</v>
          </cell>
          <cell r="C41" t="str">
            <v>WR26</v>
          </cell>
          <cell r="D41">
            <v>14</v>
          </cell>
          <cell r="E41">
            <v>188.13098675699999</v>
          </cell>
        </row>
        <row r="42">
          <cell r="B42" t="str">
            <v>James Conner</v>
          </cell>
          <cell r="C42" t="str">
            <v>RB15</v>
          </cell>
          <cell r="D42">
            <v>8</v>
          </cell>
          <cell r="E42">
            <v>216.02586858870563</v>
          </cell>
        </row>
        <row r="43">
          <cell r="B43" t="str">
            <v>Lamar Jackson</v>
          </cell>
          <cell r="C43" t="str">
            <v>QB1</v>
          </cell>
          <cell r="D43">
            <v>7</v>
          </cell>
          <cell r="E43">
            <v>382.58688114878112</v>
          </cell>
        </row>
        <row r="44">
          <cell r="B44" t="str">
            <v>Jaylen Waddle</v>
          </cell>
          <cell r="C44" t="str">
            <v>WR27</v>
          </cell>
          <cell r="D44">
            <v>12</v>
          </cell>
          <cell r="E44">
            <v>185.51722156180082</v>
          </cell>
        </row>
        <row r="45">
          <cell r="B45" t="str">
            <v>Chuba Hubbard</v>
          </cell>
          <cell r="C45" t="str">
            <v>RB16</v>
          </cell>
          <cell r="D45">
            <v>14</v>
          </cell>
          <cell r="E45">
            <v>210.92516893690564</v>
          </cell>
        </row>
        <row r="46">
          <cell r="B46" t="str">
            <v>Cooper Kupp</v>
          </cell>
          <cell r="C46" t="str">
            <v>WR28</v>
          </cell>
          <cell r="D46">
            <v>8</v>
          </cell>
          <cell r="E46">
            <v>183.21918608657666</v>
          </cell>
        </row>
        <row r="47">
          <cell r="B47" t="str">
            <v>Garrett Wilson</v>
          </cell>
          <cell r="C47" t="str">
            <v>WR29</v>
          </cell>
          <cell r="D47">
            <v>9</v>
          </cell>
          <cell r="E47">
            <v>182.77303726355569</v>
          </cell>
        </row>
        <row r="48">
          <cell r="B48" t="str">
            <v>Rome Odunze</v>
          </cell>
          <cell r="C48" t="str">
            <v>WR30</v>
          </cell>
          <cell r="D48">
            <v>5</v>
          </cell>
          <cell r="E48">
            <v>182.75971495017598</v>
          </cell>
        </row>
        <row r="49">
          <cell r="B49" t="str">
            <v>Jakobi Meyers</v>
          </cell>
          <cell r="C49" t="str">
            <v>WR31</v>
          </cell>
          <cell r="D49">
            <v>8</v>
          </cell>
          <cell r="E49">
            <v>181.16883573909121</v>
          </cell>
        </row>
        <row r="50">
          <cell r="B50" t="str">
            <v>Brock Bowers</v>
          </cell>
          <cell r="C50" t="str">
            <v>TE1</v>
          </cell>
          <cell r="D50">
            <v>8</v>
          </cell>
          <cell r="E50">
            <v>211.383471289536</v>
          </cell>
        </row>
        <row r="51">
          <cell r="B51" t="str">
            <v>Jerry Jeudy</v>
          </cell>
          <cell r="C51" t="str">
            <v>WR32</v>
          </cell>
          <cell r="D51">
            <v>9</v>
          </cell>
          <cell r="E51">
            <v>179.04040594439999</v>
          </cell>
        </row>
        <row r="52">
          <cell r="B52" t="str">
            <v>DeVonta Smith</v>
          </cell>
          <cell r="C52" t="str">
            <v>WR33</v>
          </cell>
          <cell r="D52">
            <v>9</v>
          </cell>
          <cell r="E52">
            <v>179.03552155578001</v>
          </cell>
        </row>
        <row r="53">
          <cell r="B53" t="str">
            <v>DJ Moore</v>
          </cell>
          <cell r="C53" t="str">
            <v>WR34</v>
          </cell>
          <cell r="D53">
            <v>5</v>
          </cell>
          <cell r="E53">
            <v>178.75530619344369</v>
          </cell>
        </row>
        <row r="54">
          <cell r="B54" t="str">
            <v>Kenneth Walker III</v>
          </cell>
          <cell r="C54" t="str">
            <v>RB17</v>
          </cell>
          <cell r="D54">
            <v>8</v>
          </cell>
          <cell r="E54">
            <v>203.225409908481</v>
          </cell>
        </row>
        <row r="55">
          <cell r="B55" t="str">
            <v>TreVeyon Henderson</v>
          </cell>
          <cell r="C55" t="str">
            <v>RB18</v>
          </cell>
          <cell r="D55">
            <v>14</v>
          </cell>
          <cell r="E55">
            <v>202.62758667856406</v>
          </cell>
        </row>
        <row r="56">
          <cell r="B56" t="str">
            <v>Marvin Harrison Jr</v>
          </cell>
          <cell r="C56" t="str">
            <v>WR35</v>
          </cell>
          <cell r="D56">
            <v>8</v>
          </cell>
          <cell r="E56">
            <v>176.25383015072032</v>
          </cell>
        </row>
        <row r="57">
          <cell r="B57" t="str">
            <v>Matthew Golden</v>
          </cell>
          <cell r="C57" t="str">
            <v>WR36</v>
          </cell>
          <cell r="D57">
            <v>5</v>
          </cell>
          <cell r="E57">
            <v>171.40968400971522</v>
          </cell>
        </row>
        <row r="58">
          <cell r="B58" t="str">
            <v>James Cook</v>
          </cell>
          <cell r="C58" t="str">
            <v>RB19</v>
          </cell>
          <cell r="D58">
            <v>7</v>
          </cell>
          <cell r="E58">
            <v>195.18879245031442</v>
          </cell>
        </row>
        <row r="59">
          <cell r="B59" t="str">
            <v>Travis Hunter</v>
          </cell>
          <cell r="C59" t="str">
            <v>WR37</v>
          </cell>
          <cell r="D59">
            <v>8</v>
          </cell>
          <cell r="E59">
            <v>170.03126821064996</v>
          </cell>
        </row>
        <row r="60">
          <cell r="B60" t="str">
            <v>Isiah Pacheco</v>
          </cell>
          <cell r="C60" t="str">
            <v>RB20</v>
          </cell>
          <cell r="D60">
            <v>10</v>
          </cell>
          <cell r="E60">
            <v>193.76157840217499</v>
          </cell>
        </row>
        <row r="61">
          <cell r="B61" t="str">
            <v>George Kittle</v>
          </cell>
          <cell r="C61" t="str">
            <v>TE2</v>
          </cell>
          <cell r="D61">
            <v>14</v>
          </cell>
          <cell r="E61">
            <v>199.35367804070211</v>
          </cell>
        </row>
        <row r="62">
          <cell r="B62" t="str">
            <v>Zay Flowers</v>
          </cell>
          <cell r="C62" t="str">
            <v>WR38</v>
          </cell>
          <cell r="D62">
            <v>7</v>
          </cell>
          <cell r="E62">
            <v>168.75590888369123</v>
          </cell>
        </row>
        <row r="63">
          <cell r="B63" t="str">
            <v>D'Andre Swift</v>
          </cell>
          <cell r="C63" t="str">
            <v>RB21</v>
          </cell>
          <cell r="D63">
            <v>5</v>
          </cell>
          <cell r="E63">
            <v>191.76229062194938</v>
          </cell>
        </row>
        <row r="64">
          <cell r="B64" t="str">
            <v>Chris Olave</v>
          </cell>
          <cell r="C64" t="str">
            <v>WR39</v>
          </cell>
          <cell r="D64">
            <v>11</v>
          </cell>
          <cell r="E64">
            <v>165.018694396185</v>
          </cell>
        </row>
        <row r="65">
          <cell r="B65" t="str">
            <v>Josh Allen</v>
          </cell>
          <cell r="C65" t="str">
            <v>QB2</v>
          </cell>
          <cell r="D65">
            <v>7</v>
          </cell>
          <cell r="E65">
            <v>370.47444984937704</v>
          </cell>
        </row>
        <row r="66">
          <cell r="B66" t="str">
            <v>Trey McBride</v>
          </cell>
          <cell r="C66" t="str">
            <v>TE3</v>
          </cell>
          <cell r="D66">
            <v>8</v>
          </cell>
          <cell r="E66">
            <v>193.69821371787765</v>
          </cell>
        </row>
        <row r="67">
          <cell r="B67" t="str">
            <v>Aaron Jones</v>
          </cell>
          <cell r="C67" t="str">
            <v>RB22</v>
          </cell>
          <cell r="D67">
            <v>6</v>
          </cell>
          <cell r="E67">
            <v>183.37112906243033</v>
          </cell>
        </row>
        <row r="68">
          <cell r="B68" t="str">
            <v>Breece Hall</v>
          </cell>
          <cell r="C68" t="str">
            <v>RB23</v>
          </cell>
          <cell r="D68">
            <v>9</v>
          </cell>
          <cell r="E68">
            <v>181.56309092882731</v>
          </cell>
        </row>
        <row r="69">
          <cell r="B69" t="str">
            <v>Darnell Mooney</v>
          </cell>
          <cell r="C69" t="str">
            <v>WR40</v>
          </cell>
          <cell r="D69">
            <v>5</v>
          </cell>
          <cell r="E69">
            <v>160.04427259024513</v>
          </cell>
        </row>
        <row r="70">
          <cell r="B70" t="str">
            <v>Jayden Higgins</v>
          </cell>
          <cell r="C70" t="str">
            <v>WR41</v>
          </cell>
          <cell r="D70">
            <v>6</v>
          </cell>
          <cell r="E70">
            <v>159.43358181983231</v>
          </cell>
        </row>
        <row r="71">
          <cell r="B71" t="str">
            <v>Jayden Daniels</v>
          </cell>
          <cell r="C71" t="str">
            <v>QB3</v>
          </cell>
          <cell r="D71">
            <v>12</v>
          </cell>
          <cell r="E71">
            <v>368.27823482139502</v>
          </cell>
        </row>
        <row r="72">
          <cell r="B72" t="str">
            <v>Deebo Samuel</v>
          </cell>
          <cell r="C72" t="str">
            <v>WR42</v>
          </cell>
          <cell r="D72">
            <v>12</v>
          </cell>
          <cell r="E72">
            <v>155.95888189323196</v>
          </cell>
        </row>
        <row r="73">
          <cell r="B73" t="str">
            <v>RJ Harvey</v>
          </cell>
          <cell r="C73" t="str">
            <v>RB24</v>
          </cell>
          <cell r="D73">
            <v>12</v>
          </cell>
          <cell r="E73">
            <v>176.16312544107197</v>
          </cell>
        </row>
        <row r="74">
          <cell r="B74" t="str">
            <v>Marvin Mims Jr</v>
          </cell>
          <cell r="C74" t="str">
            <v>WR43</v>
          </cell>
          <cell r="D74">
            <v>12</v>
          </cell>
          <cell r="E74">
            <v>155.46941636408002</v>
          </cell>
        </row>
        <row r="75">
          <cell r="B75" t="str">
            <v>Jauan Jennings</v>
          </cell>
          <cell r="C75" t="str">
            <v>WR44</v>
          </cell>
          <cell r="D75">
            <v>14</v>
          </cell>
          <cell r="E75">
            <v>155.06318549261232</v>
          </cell>
        </row>
        <row r="76">
          <cell r="B76" t="str">
            <v>Tony Pollard</v>
          </cell>
          <cell r="C76" t="str">
            <v>RB25</v>
          </cell>
          <cell r="D76">
            <v>10</v>
          </cell>
          <cell r="E76">
            <v>172.42500938586281</v>
          </cell>
        </row>
        <row r="77">
          <cell r="B77" t="str">
            <v>Jaylen Warren</v>
          </cell>
          <cell r="C77" t="str">
            <v>RB26</v>
          </cell>
          <cell r="D77">
            <v>5</v>
          </cell>
          <cell r="E77">
            <v>170.44726695191997</v>
          </cell>
        </row>
        <row r="78">
          <cell r="B78" t="str">
            <v>Chris Godwin</v>
          </cell>
          <cell r="C78" t="str">
            <v>WR45</v>
          </cell>
          <cell r="D78">
            <v>9</v>
          </cell>
          <cell r="E78">
            <v>150.8103546372954</v>
          </cell>
        </row>
        <row r="79">
          <cell r="B79" t="str">
            <v>Travis Kelce</v>
          </cell>
          <cell r="C79" t="str">
            <v>TE4</v>
          </cell>
          <cell r="D79">
            <v>10</v>
          </cell>
          <cell r="E79">
            <v>180.66326738177901</v>
          </cell>
        </row>
        <row r="80">
          <cell r="B80" t="str">
            <v>Javonte Williams</v>
          </cell>
          <cell r="C80" t="str">
            <v>RB27</v>
          </cell>
          <cell r="D80">
            <v>10</v>
          </cell>
          <cell r="E80">
            <v>168.16628175097426</v>
          </cell>
        </row>
        <row r="81">
          <cell r="B81" t="str">
            <v>Jalen Hurts</v>
          </cell>
          <cell r="C81" t="str">
            <v>QB4</v>
          </cell>
          <cell r="D81">
            <v>9</v>
          </cell>
          <cell r="E81">
            <v>361.81824306837785</v>
          </cell>
        </row>
        <row r="82">
          <cell r="B82" t="str">
            <v>Tyrone Tracy</v>
          </cell>
          <cell r="C82" t="str">
            <v>RB28</v>
          </cell>
          <cell r="D82">
            <v>14</v>
          </cell>
          <cell r="E82">
            <v>167.55756768832805</v>
          </cell>
        </row>
        <row r="83">
          <cell r="B83" t="str">
            <v>Joshua Palmer</v>
          </cell>
          <cell r="C83" t="str">
            <v>WR46</v>
          </cell>
          <cell r="D83">
            <v>7</v>
          </cell>
          <cell r="E83">
            <v>147.88769632934472</v>
          </cell>
        </row>
        <row r="84">
          <cell r="B84" t="str">
            <v>Khalil Shakir</v>
          </cell>
          <cell r="C84" t="str">
            <v>WR47</v>
          </cell>
          <cell r="D84">
            <v>7</v>
          </cell>
          <cell r="E84">
            <v>146.85030542820118</v>
          </cell>
        </row>
        <row r="85">
          <cell r="B85" t="str">
            <v>David Montgomery</v>
          </cell>
          <cell r="C85" t="str">
            <v>RB29</v>
          </cell>
          <cell r="D85">
            <v>8</v>
          </cell>
          <cell r="E85">
            <v>164.5430571100502</v>
          </cell>
        </row>
        <row r="86">
          <cell r="B86" t="str">
            <v>Josh Downs</v>
          </cell>
          <cell r="C86" t="str">
            <v>WR48</v>
          </cell>
          <cell r="D86">
            <v>11</v>
          </cell>
          <cell r="E86">
            <v>145.94737201864513</v>
          </cell>
        </row>
        <row r="87">
          <cell r="B87" t="str">
            <v>Cedric Tillman</v>
          </cell>
          <cell r="C87" t="str">
            <v>WR49</v>
          </cell>
          <cell r="D87">
            <v>9</v>
          </cell>
          <cell r="E87">
            <v>145.59928974360002</v>
          </cell>
        </row>
        <row r="88">
          <cell r="B88" t="str">
            <v>Rashid Shaheed</v>
          </cell>
          <cell r="C88" t="str">
            <v>WR50</v>
          </cell>
          <cell r="D88">
            <v>11</v>
          </cell>
          <cell r="E88">
            <v>145.12761977108639</v>
          </cell>
        </row>
        <row r="89">
          <cell r="B89" t="str">
            <v>Keon Coleman</v>
          </cell>
          <cell r="C89" t="str">
            <v>WR51</v>
          </cell>
          <cell r="D89">
            <v>7</v>
          </cell>
          <cell r="E89">
            <v>144.43917668794995</v>
          </cell>
        </row>
        <row r="90">
          <cell r="B90" t="str">
            <v>Jayden Reed</v>
          </cell>
          <cell r="C90" t="str">
            <v>WR52</v>
          </cell>
          <cell r="D90">
            <v>5</v>
          </cell>
          <cell r="E90">
            <v>143.73005831481342</v>
          </cell>
        </row>
        <row r="91">
          <cell r="B91" t="str">
            <v>JK Dobbins</v>
          </cell>
          <cell r="C91" t="str">
            <v>RB30</v>
          </cell>
          <cell r="D91">
            <v>12</v>
          </cell>
          <cell r="E91">
            <v>159.94204313471997</v>
          </cell>
        </row>
        <row r="92">
          <cell r="B92" t="str">
            <v>Xavier Legette</v>
          </cell>
          <cell r="C92" t="str">
            <v>WR53</v>
          </cell>
          <cell r="D92">
            <v>14</v>
          </cell>
          <cell r="E92">
            <v>142.91976835825497</v>
          </cell>
        </row>
        <row r="93">
          <cell r="B93" t="str">
            <v>Rashee Rice</v>
          </cell>
          <cell r="C93" t="str">
            <v>WR54</v>
          </cell>
          <cell r="D93">
            <v>10</v>
          </cell>
          <cell r="E93">
            <v>142.69580269125174</v>
          </cell>
        </row>
        <row r="94">
          <cell r="B94" t="str">
            <v>Jacory Croskey-Merritt</v>
          </cell>
          <cell r="C94" t="str">
            <v>RB31</v>
          </cell>
          <cell r="D94">
            <v>12</v>
          </cell>
          <cell r="E94">
            <v>156.56853997361134</v>
          </cell>
        </row>
        <row r="95">
          <cell r="B95" t="str">
            <v>Andrei Iosivas</v>
          </cell>
          <cell r="C95" t="str">
            <v>WR55</v>
          </cell>
          <cell r="D95">
            <v>10</v>
          </cell>
          <cell r="E95">
            <v>138.87978591947461</v>
          </cell>
        </row>
        <row r="96">
          <cell r="B96" t="str">
            <v>Jordan Addison</v>
          </cell>
          <cell r="C96" t="str">
            <v>WR56</v>
          </cell>
          <cell r="D96">
            <v>6</v>
          </cell>
          <cell r="E96">
            <v>138.60445797034197</v>
          </cell>
        </row>
        <row r="97">
          <cell r="B97" t="str">
            <v>Romeo Doubs</v>
          </cell>
          <cell r="C97" t="str">
            <v>WR57</v>
          </cell>
          <cell r="D97">
            <v>5</v>
          </cell>
          <cell r="E97">
            <v>137.21522443453441</v>
          </cell>
        </row>
        <row r="98">
          <cell r="B98" t="str">
            <v>Stefon Diggs</v>
          </cell>
          <cell r="C98" t="str">
            <v>WR58</v>
          </cell>
          <cell r="D98">
            <v>14</v>
          </cell>
          <cell r="E98">
            <v>134.86612284440065</v>
          </cell>
        </row>
        <row r="99">
          <cell r="B99" t="str">
            <v>Travis Etienne Jr</v>
          </cell>
          <cell r="C99" t="str">
            <v>RB32</v>
          </cell>
          <cell r="D99">
            <v>8</v>
          </cell>
          <cell r="E99">
            <v>149.48378158109765</v>
          </cell>
        </row>
        <row r="100">
          <cell r="B100" t="str">
            <v>Michael Pittman Jr</v>
          </cell>
          <cell r="C100" t="str">
            <v>WR59</v>
          </cell>
          <cell r="D100">
            <v>11</v>
          </cell>
          <cell r="E100">
            <v>133.8747607000339</v>
          </cell>
        </row>
        <row r="101">
          <cell r="B101" t="str">
            <v>Kaleb Johnson</v>
          </cell>
          <cell r="C101" t="str">
            <v>RB33</v>
          </cell>
          <cell r="D101">
            <v>5</v>
          </cell>
          <cell r="E101">
            <v>147.22914955864499</v>
          </cell>
        </row>
        <row r="102">
          <cell r="B102" t="str">
            <v>Christian Kirk</v>
          </cell>
          <cell r="C102" t="str">
            <v>WR60</v>
          </cell>
          <cell r="D102">
            <v>6</v>
          </cell>
          <cell r="E102">
            <v>132.69974435044219</v>
          </cell>
        </row>
        <row r="103">
          <cell r="B103" t="str">
            <v>Austin Ekeler</v>
          </cell>
          <cell r="C103" t="str">
            <v>RB34</v>
          </cell>
          <cell r="D103">
            <v>12</v>
          </cell>
          <cell r="E103">
            <v>145.34541483939773</v>
          </cell>
        </row>
        <row r="104">
          <cell r="B104" t="str">
            <v>Cam Skattebo</v>
          </cell>
          <cell r="C104" t="str">
            <v>RB35</v>
          </cell>
          <cell r="D104">
            <v>14</v>
          </cell>
          <cell r="E104">
            <v>142.04920704759937</v>
          </cell>
        </row>
        <row r="105">
          <cell r="B105" t="str">
            <v>Ollie Gordon II</v>
          </cell>
          <cell r="C105" t="str">
            <v>RB36</v>
          </cell>
          <cell r="D105">
            <v>12</v>
          </cell>
          <cell r="E105">
            <v>139.63678873448836</v>
          </cell>
        </row>
        <row r="106">
          <cell r="B106" t="str">
            <v>Joe Burrow</v>
          </cell>
          <cell r="C106" t="str">
            <v>QB5</v>
          </cell>
          <cell r="D106">
            <v>10</v>
          </cell>
          <cell r="E106">
            <v>338.95905235772284</v>
          </cell>
        </row>
        <row r="107">
          <cell r="B107" t="str">
            <v>Josh Reynolds</v>
          </cell>
          <cell r="C107" t="str">
            <v>WR61</v>
          </cell>
          <cell r="D107">
            <v>9</v>
          </cell>
          <cell r="E107">
            <v>125.91603233903037</v>
          </cell>
        </row>
        <row r="108">
          <cell r="B108" t="str">
            <v>Keenan Allen</v>
          </cell>
          <cell r="C108" t="str">
            <v>WR62</v>
          </cell>
          <cell r="D108">
            <v>12</v>
          </cell>
          <cell r="E108">
            <v>124.92094731572399</v>
          </cell>
        </row>
        <row r="109">
          <cell r="B109" t="str">
            <v>Jordan Mason</v>
          </cell>
          <cell r="C109" t="str">
            <v>RB37</v>
          </cell>
          <cell r="D109">
            <v>6</v>
          </cell>
          <cell r="E109">
            <v>136.59213784881061</v>
          </cell>
        </row>
        <row r="110">
          <cell r="B110" t="str">
            <v>DeMario Douglas</v>
          </cell>
          <cell r="C110" t="str">
            <v>WR63</v>
          </cell>
          <cell r="D110">
            <v>14</v>
          </cell>
          <cell r="E110">
            <v>124.0463631419712</v>
          </cell>
        </row>
        <row r="111">
          <cell r="B111" t="str">
            <v>Roman Wilson</v>
          </cell>
          <cell r="C111" t="str">
            <v>WR64</v>
          </cell>
          <cell r="D111">
            <v>5</v>
          </cell>
          <cell r="E111">
            <v>123.59252721816</v>
          </cell>
        </row>
        <row r="112">
          <cell r="B112" t="str">
            <v>Zach Charbonnet</v>
          </cell>
          <cell r="C112" t="str">
            <v>RB38</v>
          </cell>
          <cell r="D112">
            <v>8</v>
          </cell>
          <cell r="E112">
            <v>134.90138114252798</v>
          </cell>
        </row>
        <row r="113">
          <cell r="B113" t="str">
            <v>Dylan Sampson</v>
          </cell>
          <cell r="C113" t="str">
            <v>RB39</v>
          </cell>
          <cell r="D113">
            <v>9</v>
          </cell>
          <cell r="E113">
            <v>133.82436412800004</v>
          </cell>
        </row>
        <row r="114">
          <cell r="B114" t="str">
            <v>Tyler Lockett</v>
          </cell>
          <cell r="C114" t="str">
            <v>WR65</v>
          </cell>
          <cell r="D114">
            <v>10</v>
          </cell>
          <cell r="E114">
            <v>121.11350097369596</v>
          </cell>
        </row>
        <row r="115">
          <cell r="B115" t="str">
            <v>David Njoku</v>
          </cell>
          <cell r="C115" t="str">
            <v>TE5</v>
          </cell>
          <cell r="D115">
            <v>9</v>
          </cell>
          <cell r="E115">
            <v>150.81585747564</v>
          </cell>
        </row>
        <row r="116">
          <cell r="B116" t="str">
            <v>Justin Fields</v>
          </cell>
          <cell r="C116" t="str">
            <v>QB6</v>
          </cell>
          <cell r="D116">
            <v>9</v>
          </cell>
          <cell r="E116">
            <v>333.85194577125975</v>
          </cell>
        </row>
        <row r="117">
          <cell r="B117" t="str">
            <v>Wan'Dale Robinson</v>
          </cell>
          <cell r="C117" t="str">
            <v>WR66</v>
          </cell>
          <cell r="D117">
            <v>14</v>
          </cell>
          <cell r="E117">
            <v>119.94542178959099</v>
          </cell>
        </row>
        <row r="118">
          <cell r="B118" t="str">
            <v>Amari Cooper</v>
          </cell>
          <cell r="C118" t="str">
            <v>WR67</v>
          </cell>
          <cell r="D118">
            <v>8</v>
          </cell>
          <cell r="E118">
            <v>119.2982875576128</v>
          </cell>
        </row>
        <row r="119">
          <cell r="B119" t="str">
            <v>Mark Andrews</v>
          </cell>
          <cell r="C119" t="str">
            <v>TE6</v>
          </cell>
          <cell r="D119">
            <v>7</v>
          </cell>
          <cell r="E119">
            <v>149.26700911555426</v>
          </cell>
        </row>
        <row r="120">
          <cell r="B120" t="str">
            <v>Sam LaPorta</v>
          </cell>
          <cell r="C120" t="str">
            <v>TE7</v>
          </cell>
          <cell r="D120">
            <v>8</v>
          </cell>
          <cell r="E120">
            <v>144.71883522236502</v>
          </cell>
        </row>
        <row r="121">
          <cell r="B121" t="str">
            <v>Baker Mayfield</v>
          </cell>
          <cell r="C121" t="str">
            <v>QB7</v>
          </cell>
          <cell r="D121">
            <v>9</v>
          </cell>
          <cell r="E121">
            <v>332.28434770840778</v>
          </cell>
        </row>
        <row r="122">
          <cell r="B122" t="str">
            <v>Jaydon Blue</v>
          </cell>
          <cell r="C122" t="str">
            <v>RB40</v>
          </cell>
          <cell r="D122">
            <v>10</v>
          </cell>
          <cell r="E122">
            <v>121.94060472520468</v>
          </cell>
        </row>
        <row r="123">
          <cell r="B123" t="str">
            <v>Jake Ferguson</v>
          </cell>
          <cell r="C123" t="str">
            <v>TE8</v>
          </cell>
          <cell r="D123">
            <v>10</v>
          </cell>
          <cell r="E123">
            <v>142.749281329903</v>
          </cell>
        </row>
        <row r="124">
          <cell r="B124" t="str">
            <v>Tory Horton</v>
          </cell>
          <cell r="C124" t="str">
            <v>WR68</v>
          </cell>
          <cell r="D124">
            <v>8</v>
          </cell>
          <cell r="E124">
            <v>111.97529629558271</v>
          </cell>
        </row>
        <row r="125">
          <cell r="B125" t="str">
            <v>Nick Chubb</v>
          </cell>
          <cell r="C125" t="str">
            <v>RB41</v>
          </cell>
          <cell r="D125">
            <v>6</v>
          </cell>
          <cell r="E125">
            <v>120.99604529028747</v>
          </cell>
        </row>
        <row r="126">
          <cell r="B126" t="str">
            <v>Quinshon Judkins</v>
          </cell>
          <cell r="C126" t="str">
            <v>RB42</v>
          </cell>
          <cell r="D126">
            <v>9</v>
          </cell>
          <cell r="E126">
            <v>119.71780518599999</v>
          </cell>
        </row>
        <row r="127">
          <cell r="B127" t="str">
            <v>Rashod Bateman</v>
          </cell>
          <cell r="C127" t="str">
            <v>WR69</v>
          </cell>
          <cell r="D127">
            <v>7</v>
          </cell>
          <cell r="E127">
            <v>107.46669108134955</v>
          </cell>
        </row>
        <row r="128">
          <cell r="B128" t="str">
            <v>Jalen Coker</v>
          </cell>
          <cell r="C128" t="str">
            <v>WR70</v>
          </cell>
          <cell r="D128">
            <v>14</v>
          </cell>
          <cell r="E128">
            <v>107.34857635401897</v>
          </cell>
        </row>
        <row r="129">
          <cell r="B129" t="str">
            <v>Kyle Pitts</v>
          </cell>
          <cell r="C129" t="str">
            <v>TE9</v>
          </cell>
          <cell r="D129">
            <v>5</v>
          </cell>
          <cell r="E129">
            <v>136.32333784957441</v>
          </cell>
        </row>
        <row r="130">
          <cell r="B130" t="str">
            <v>Elic Ayomanor</v>
          </cell>
          <cell r="C130" t="str">
            <v>WR71</v>
          </cell>
          <cell r="D130">
            <v>10</v>
          </cell>
          <cell r="E130">
            <v>105.24837442775039</v>
          </cell>
        </row>
        <row r="131">
          <cell r="B131" t="str">
            <v>Tucker Kraft</v>
          </cell>
          <cell r="C131" t="str">
            <v>TE10</v>
          </cell>
          <cell r="D131">
            <v>5</v>
          </cell>
          <cell r="E131">
            <v>135.43693748524802</v>
          </cell>
        </row>
        <row r="132">
          <cell r="B132" t="str">
            <v>Tyjae Spears</v>
          </cell>
          <cell r="C132" t="str">
            <v>RB43</v>
          </cell>
          <cell r="D132">
            <v>10</v>
          </cell>
          <cell r="E132">
            <v>111.23461294122239</v>
          </cell>
        </row>
        <row r="133">
          <cell r="B133" t="str">
            <v>Patrick Mahomes</v>
          </cell>
          <cell r="C133" t="str">
            <v>QB8</v>
          </cell>
          <cell r="D133">
            <v>10</v>
          </cell>
          <cell r="E133">
            <v>322.17403798902967</v>
          </cell>
        </row>
        <row r="134">
          <cell r="B134" t="str">
            <v>Hunter Henry</v>
          </cell>
          <cell r="C134" t="str">
            <v>TE11</v>
          </cell>
          <cell r="D134">
            <v>14</v>
          </cell>
          <cell r="E134">
            <v>133.69292048988288</v>
          </cell>
        </row>
        <row r="135">
          <cell r="B135" t="str">
            <v>Alec Pierce</v>
          </cell>
          <cell r="C135" t="str">
            <v>WR72</v>
          </cell>
          <cell r="D135">
            <v>11</v>
          </cell>
          <cell r="E135">
            <v>103.20236498302079</v>
          </cell>
        </row>
        <row r="136">
          <cell r="B136" t="str">
            <v>Rhamondre Stevenson</v>
          </cell>
          <cell r="C136" t="str">
            <v>RB44</v>
          </cell>
          <cell r="D136">
            <v>14</v>
          </cell>
          <cell r="E136">
            <v>107.85948008552003</v>
          </cell>
        </row>
        <row r="137">
          <cell r="B137" t="str">
            <v>Dyami Brown</v>
          </cell>
          <cell r="C137" t="str">
            <v>WR73</v>
          </cell>
          <cell r="D137">
            <v>8</v>
          </cell>
          <cell r="E137">
            <v>101.28760706137916</v>
          </cell>
        </row>
        <row r="138">
          <cell r="B138" t="str">
            <v>Evan Engram</v>
          </cell>
          <cell r="C138" t="str">
            <v>TE12</v>
          </cell>
          <cell r="D138">
            <v>12</v>
          </cell>
          <cell r="E138">
            <v>131.59613855136001</v>
          </cell>
        </row>
        <row r="139">
          <cell r="B139" t="str">
            <v>Zay Jones</v>
          </cell>
          <cell r="C139" t="str">
            <v>WR74</v>
          </cell>
          <cell r="D139">
            <v>8</v>
          </cell>
          <cell r="E139">
            <v>101.08000252938062</v>
          </cell>
        </row>
        <row r="140">
          <cell r="B140" t="str">
            <v>Tre Harris</v>
          </cell>
          <cell r="C140" t="str">
            <v>WR75</v>
          </cell>
          <cell r="D140">
            <v>12</v>
          </cell>
          <cell r="E140">
            <v>100.84587094982399</v>
          </cell>
        </row>
        <row r="141">
          <cell r="B141" t="str">
            <v>Luther Burden III</v>
          </cell>
          <cell r="C141" t="str">
            <v>WR76</v>
          </cell>
          <cell r="D141">
            <v>5</v>
          </cell>
          <cell r="E141">
            <v>100.64190809690639</v>
          </cell>
        </row>
        <row r="142">
          <cell r="B142" t="str">
            <v>TJ Hockenson</v>
          </cell>
          <cell r="C142" t="str">
            <v>TE13</v>
          </cell>
          <cell r="D142">
            <v>6</v>
          </cell>
          <cell r="E142">
            <v>130.03358293336314</v>
          </cell>
        </row>
        <row r="143">
          <cell r="B143" t="str">
            <v>Darius Slayton</v>
          </cell>
          <cell r="C143" t="str">
            <v>WR77</v>
          </cell>
          <cell r="D143">
            <v>14</v>
          </cell>
          <cell r="E143">
            <v>98.138667103123908</v>
          </cell>
        </row>
        <row r="144">
          <cell r="B144" t="str">
            <v>DeAndre Hopkins</v>
          </cell>
          <cell r="C144" t="str">
            <v>WR78</v>
          </cell>
          <cell r="D144">
            <v>7</v>
          </cell>
          <cell r="E144">
            <v>97.48350838579583</v>
          </cell>
        </row>
        <row r="145">
          <cell r="B145" t="str">
            <v>Quentin Johnston</v>
          </cell>
          <cell r="C145" t="str">
            <v>WR79</v>
          </cell>
          <cell r="D145">
            <v>12</v>
          </cell>
          <cell r="E145">
            <v>93.495244367694397</v>
          </cell>
        </row>
        <row r="146">
          <cell r="B146" t="str">
            <v>Mason Taylor</v>
          </cell>
          <cell r="C146" t="str">
            <v>TE14</v>
          </cell>
          <cell r="D146">
            <v>9</v>
          </cell>
          <cell r="E146">
            <v>123.51825239168527</v>
          </cell>
        </row>
        <row r="147">
          <cell r="B147" t="str">
            <v>Ray Davis</v>
          </cell>
          <cell r="C147" t="str">
            <v>RB45</v>
          </cell>
          <cell r="D147">
            <v>7</v>
          </cell>
          <cell r="E147">
            <v>97.064594235486453</v>
          </cell>
        </row>
        <row r="148">
          <cell r="B148" t="str">
            <v>Brandon Aiyuk</v>
          </cell>
          <cell r="C148" t="str">
            <v>WR80</v>
          </cell>
          <cell r="D148">
            <v>14</v>
          </cell>
          <cell r="E148">
            <v>92.282435381949099</v>
          </cell>
        </row>
        <row r="149">
          <cell r="B149" t="str">
            <v>Caleb Williams</v>
          </cell>
          <cell r="C149" t="str">
            <v>QB9</v>
          </cell>
          <cell r="D149">
            <v>5</v>
          </cell>
          <cell r="E149">
            <v>313.3672233874517</v>
          </cell>
        </row>
        <row r="150">
          <cell r="B150" t="str">
            <v>Najee Harris</v>
          </cell>
          <cell r="C150" t="str">
            <v>RB46</v>
          </cell>
          <cell r="D150">
            <v>12</v>
          </cell>
          <cell r="E150">
            <v>93.92020870727039</v>
          </cell>
        </row>
        <row r="151">
          <cell r="B151" t="str">
            <v>Dalton Kincaid</v>
          </cell>
          <cell r="C151" t="str">
            <v>TE15</v>
          </cell>
          <cell r="D151">
            <v>7</v>
          </cell>
          <cell r="E151">
            <v>119.93356268808375</v>
          </cell>
        </row>
        <row r="152">
          <cell r="B152" t="str">
            <v>Arian Smith</v>
          </cell>
          <cell r="C152" t="str">
            <v>WR81</v>
          </cell>
          <cell r="D152">
            <v>9</v>
          </cell>
          <cell r="E152">
            <v>89.517892102983225</v>
          </cell>
        </row>
        <row r="153">
          <cell r="B153" t="str">
            <v>Trey Benson</v>
          </cell>
          <cell r="C153" t="str">
            <v>RB47</v>
          </cell>
          <cell r="D153">
            <v>8</v>
          </cell>
          <cell r="E153">
            <v>92.324530219960906</v>
          </cell>
        </row>
        <row r="154">
          <cell r="B154" t="str">
            <v>Tank Bigsby</v>
          </cell>
          <cell r="C154" t="str">
            <v>RB48</v>
          </cell>
          <cell r="D154">
            <v>8</v>
          </cell>
          <cell r="E154">
            <v>91.980128044671901</v>
          </cell>
        </row>
        <row r="155">
          <cell r="B155" t="str">
            <v>Rachaad White</v>
          </cell>
          <cell r="C155" t="str">
            <v>RB49</v>
          </cell>
          <cell r="D155">
            <v>9</v>
          </cell>
          <cell r="E155">
            <v>91.886554953559155</v>
          </cell>
        </row>
        <row r="156">
          <cell r="B156" t="str">
            <v>Tyler Allgeier</v>
          </cell>
          <cell r="C156" t="str">
            <v>RB50</v>
          </cell>
          <cell r="D156">
            <v>5</v>
          </cell>
          <cell r="E156">
            <v>91.774157964961319</v>
          </cell>
        </row>
        <row r="157">
          <cell r="B157" t="str">
            <v>Brenton Strange</v>
          </cell>
          <cell r="C157" t="str">
            <v>TE16</v>
          </cell>
          <cell r="D157">
            <v>8</v>
          </cell>
          <cell r="E157">
            <v>118.11124758713277</v>
          </cell>
        </row>
        <row r="158">
          <cell r="B158" t="str">
            <v>Kendre Miller</v>
          </cell>
          <cell r="C158" t="str">
            <v>RB51</v>
          </cell>
          <cell r="D158">
            <v>11</v>
          </cell>
          <cell r="E158">
            <v>89.182644495700004</v>
          </cell>
        </row>
        <row r="159">
          <cell r="B159" t="str">
            <v>Tyler Warren</v>
          </cell>
          <cell r="C159" t="str">
            <v>TE17</v>
          </cell>
          <cell r="D159">
            <v>11</v>
          </cell>
          <cell r="E159">
            <v>116.30323841847982</v>
          </cell>
        </row>
        <row r="160">
          <cell r="B160" t="str">
            <v>Brock Purdy</v>
          </cell>
          <cell r="C160" t="str">
            <v>QB10</v>
          </cell>
          <cell r="D160">
            <v>14</v>
          </cell>
          <cell r="E160">
            <v>307.63939247855097</v>
          </cell>
        </row>
        <row r="161">
          <cell r="B161" t="str">
            <v>Brashard Smith</v>
          </cell>
          <cell r="C161" t="str">
            <v>RB52</v>
          </cell>
          <cell r="D161">
            <v>10</v>
          </cell>
          <cell r="E161">
            <v>88.172712045039987</v>
          </cell>
        </row>
        <row r="162">
          <cell r="B162" t="str">
            <v>Isaac TeSlaa</v>
          </cell>
          <cell r="C162" t="str">
            <v>WR82</v>
          </cell>
          <cell r="D162">
            <v>8</v>
          </cell>
          <cell r="E162">
            <v>84.474490070879995</v>
          </cell>
        </row>
        <row r="163">
          <cell r="B163" t="str">
            <v>Bo Nix</v>
          </cell>
          <cell r="C163" t="str">
            <v>QB11</v>
          </cell>
          <cell r="D163">
            <v>12</v>
          </cell>
          <cell r="E163">
            <v>306.64607153709284</v>
          </cell>
        </row>
        <row r="164">
          <cell r="B164" t="str">
            <v>Darren Waller</v>
          </cell>
          <cell r="C164" t="str">
            <v>TE18</v>
          </cell>
          <cell r="D164">
            <v>12</v>
          </cell>
          <cell r="E164">
            <v>113.93149780172158</v>
          </cell>
        </row>
        <row r="165">
          <cell r="B165" t="str">
            <v>Rico Dowdle</v>
          </cell>
          <cell r="C165" t="str">
            <v>RB53</v>
          </cell>
          <cell r="D165">
            <v>14</v>
          </cell>
          <cell r="E165">
            <v>85.690711342950365</v>
          </cell>
        </row>
        <row r="166">
          <cell r="B166" t="str">
            <v>Jerome Ford</v>
          </cell>
          <cell r="C166" t="str">
            <v>RB54</v>
          </cell>
          <cell r="D166">
            <v>9</v>
          </cell>
          <cell r="E166">
            <v>85.482013168754975</v>
          </cell>
        </row>
        <row r="167">
          <cell r="B167" t="str">
            <v>Joe Mixon</v>
          </cell>
          <cell r="C167" t="str">
            <v>RB55</v>
          </cell>
          <cell r="D167">
            <v>6</v>
          </cell>
          <cell r="E167">
            <v>84.840430108608729</v>
          </cell>
        </row>
        <row r="168">
          <cell r="B168" t="str">
            <v>Kyler Murray</v>
          </cell>
          <cell r="C168" t="str">
            <v>QB12</v>
          </cell>
          <cell r="D168">
            <v>8</v>
          </cell>
          <cell r="E168">
            <v>305.49353011697758</v>
          </cell>
        </row>
        <row r="169">
          <cell r="B169" t="str">
            <v>Braelon Allen</v>
          </cell>
          <cell r="C169" t="str">
            <v>RB56</v>
          </cell>
          <cell r="D169">
            <v>9</v>
          </cell>
          <cell r="E169">
            <v>79.999019242966241</v>
          </cell>
        </row>
        <row r="170">
          <cell r="B170" t="str">
            <v>Ja'Tavion Sanders</v>
          </cell>
          <cell r="C170" t="str">
            <v>TE19</v>
          </cell>
          <cell r="D170">
            <v>14</v>
          </cell>
          <cell r="E170">
            <v>109.01670878697897</v>
          </cell>
        </row>
        <row r="171">
          <cell r="B171" t="str">
            <v>Tutu Atwell</v>
          </cell>
          <cell r="C171" t="str">
            <v>WR83</v>
          </cell>
          <cell r="D171">
            <v>8</v>
          </cell>
          <cell r="E171">
            <v>78.598639862357928</v>
          </cell>
        </row>
        <row r="172">
          <cell r="B172" t="str">
            <v>Isaiah Likely</v>
          </cell>
          <cell r="C172" t="str">
            <v>TE20</v>
          </cell>
          <cell r="D172">
            <v>7</v>
          </cell>
          <cell r="E172">
            <v>108.55058894213452</v>
          </cell>
        </row>
        <row r="173">
          <cell r="B173" t="str">
            <v>Dak Prescott</v>
          </cell>
          <cell r="C173" t="str">
            <v>QB13</v>
          </cell>
          <cell r="D173">
            <v>10</v>
          </cell>
          <cell r="E173">
            <v>304.28657866151991</v>
          </cell>
        </row>
        <row r="174">
          <cell r="B174" t="str">
            <v>Brian Robinson</v>
          </cell>
          <cell r="C174" t="str">
            <v>RB57</v>
          </cell>
          <cell r="D174">
            <v>14</v>
          </cell>
          <cell r="E174">
            <v>76.677276802211281</v>
          </cell>
        </row>
        <row r="175">
          <cell r="B175" t="str">
            <v>Adonai Mitchell</v>
          </cell>
          <cell r="C175" t="str">
            <v>WR84</v>
          </cell>
          <cell r="D175">
            <v>11</v>
          </cell>
          <cell r="E175">
            <v>75.521955810174731</v>
          </cell>
        </row>
        <row r="176">
          <cell r="B176" t="str">
            <v>Tahj Brooks</v>
          </cell>
          <cell r="C176" t="str">
            <v>RB58</v>
          </cell>
          <cell r="D176">
            <v>10</v>
          </cell>
          <cell r="E176">
            <v>75.031821929768213</v>
          </cell>
        </row>
        <row r="177">
          <cell r="B177" t="str">
            <v>Michael Wilson</v>
          </cell>
          <cell r="C177" t="str">
            <v>WR85</v>
          </cell>
          <cell r="D177">
            <v>8</v>
          </cell>
          <cell r="E177">
            <v>74.570748899466182</v>
          </cell>
        </row>
        <row r="178">
          <cell r="B178" t="str">
            <v>Kyle Monangai</v>
          </cell>
          <cell r="C178" t="str">
            <v>RB59</v>
          </cell>
          <cell r="D178">
            <v>5</v>
          </cell>
          <cell r="E178">
            <v>73.399027847887751</v>
          </cell>
        </row>
        <row r="179">
          <cell r="B179" t="str">
            <v>Woody Marks</v>
          </cell>
          <cell r="C179" t="str">
            <v>RB60</v>
          </cell>
          <cell r="D179">
            <v>6</v>
          </cell>
          <cell r="E179">
            <v>73.277326831450566</v>
          </cell>
        </row>
        <row r="180">
          <cell r="B180" t="str">
            <v>Kenneth Gainwell</v>
          </cell>
          <cell r="C180" t="str">
            <v>RB61</v>
          </cell>
          <cell r="D180">
            <v>5</v>
          </cell>
          <cell r="E180">
            <v>72.986133999239996</v>
          </cell>
        </row>
        <row r="181">
          <cell r="B181" t="str">
            <v>Trevor Lawrence</v>
          </cell>
          <cell r="C181" t="str">
            <v>QB14</v>
          </cell>
          <cell r="D181">
            <v>8</v>
          </cell>
          <cell r="E181">
            <v>299.63981959630308</v>
          </cell>
        </row>
        <row r="182">
          <cell r="B182" t="str">
            <v>Dallas Goedert</v>
          </cell>
          <cell r="C182" t="str">
            <v>TE21</v>
          </cell>
          <cell r="D182">
            <v>9</v>
          </cell>
          <cell r="E182">
            <v>103.0868814185182</v>
          </cell>
        </row>
        <row r="183">
          <cell r="B183" t="str">
            <v>Calvin Austin</v>
          </cell>
          <cell r="C183" t="str">
            <v>WR86</v>
          </cell>
          <cell r="D183">
            <v>5</v>
          </cell>
          <cell r="E183">
            <v>72.369938634840011</v>
          </cell>
        </row>
        <row r="184">
          <cell r="B184" t="str">
            <v>Adam Thielen</v>
          </cell>
          <cell r="C184" t="str">
            <v>WR87</v>
          </cell>
          <cell r="D184">
            <v>6</v>
          </cell>
          <cell r="E184">
            <v>71.948003014742369</v>
          </cell>
        </row>
        <row r="185">
          <cell r="B185" t="str">
            <v>Dont'e Thornton Jr</v>
          </cell>
          <cell r="C185" t="str">
            <v>WR88</v>
          </cell>
          <cell r="D185">
            <v>8</v>
          </cell>
          <cell r="E185">
            <v>69.901801146777601</v>
          </cell>
        </row>
        <row r="186">
          <cell r="B186" t="str">
            <v>Will Shipley</v>
          </cell>
          <cell r="C186" t="str">
            <v>RB62</v>
          </cell>
          <cell r="D186">
            <v>9</v>
          </cell>
          <cell r="E186">
            <v>67.61984774579399</v>
          </cell>
        </row>
        <row r="187">
          <cell r="B187" t="str">
            <v>Theo Johnson</v>
          </cell>
          <cell r="C187" t="str">
            <v>TE22</v>
          </cell>
          <cell r="D187">
            <v>14</v>
          </cell>
          <cell r="E187">
            <v>99.380492649345598</v>
          </cell>
        </row>
        <row r="188">
          <cell r="B188" t="str">
            <v>Zach Ertz</v>
          </cell>
          <cell r="C188" t="str">
            <v>TE23</v>
          </cell>
          <cell r="D188">
            <v>12</v>
          </cell>
          <cell r="E188">
            <v>98.383115853856438</v>
          </cell>
        </row>
        <row r="189">
          <cell r="B189" t="str">
            <v>Jonnu Smith</v>
          </cell>
          <cell r="C189" t="str">
            <v>TE24</v>
          </cell>
          <cell r="D189">
            <v>5</v>
          </cell>
          <cell r="E189">
            <v>98.258904651600005</v>
          </cell>
        </row>
        <row r="190">
          <cell r="B190" t="str">
            <v>Nick Westbrook-Ikhine</v>
          </cell>
          <cell r="C190" t="str">
            <v>WR89</v>
          </cell>
          <cell r="D190">
            <v>12</v>
          </cell>
          <cell r="E190">
            <v>67.881714756535686</v>
          </cell>
        </row>
        <row r="191">
          <cell r="B191" t="str">
            <v>Troy Franklin</v>
          </cell>
          <cell r="C191" t="str">
            <v>WR90</v>
          </cell>
          <cell r="D191">
            <v>12</v>
          </cell>
          <cell r="E191">
            <v>67.494129210815984</v>
          </cell>
        </row>
        <row r="192">
          <cell r="B192" t="str">
            <v>Hollywood Brown</v>
          </cell>
          <cell r="C192" t="str">
            <v>WR91</v>
          </cell>
          <cell r="D192">
            <v>10</v>
          </cell>
          <cell r="E192">
            <v>67.311344283749989</v>
          </cell>
        </row>
        <row r="193">
          <cell r="B193" t="str">
            <v>Bhayshul Tuten</v>
          </cell>
          <cell r="C193" t="str">
            <v>RB63</v>
          </cell>
          <cell r="D193">
            <v>8</v>
          </cell>
          <cell r="E193">
            <v>64.660213592468935</v>
          </cell>
        </row>
        <row r="194">
          <cell r="B194" t="str">
            <v>CJ Stroud</v>
          </cell>
          <cell r="C194" t="str">
            <v>QB15</v>
          </cell>
          <cell r="D194">
            <v>6</v>
          </cell>
          <cell r="E194">
            <v>295.91472454876794</v>
          </cell>
        </row>
        <row r="195">
          <cell r="B195" t="str">
            <v>Ray-Ray McCloud</v>
          </cell>
          <cell r="C195" t="str">
            <v>WR92</v>
          </cell>
          <cell r="D195">
            <v>5</v>
          </cell>
          <cell r="E195">
            <v>65.295532394308054</v>
          </cell>
        </row>
        <row r="196">
          <cell r="B196" t="str">
            <v>Dontayvion Wicks</v>
          </cell>
          <cell r="C196" t="str">
            <v>WR93</v>
          </cell>
          <cell r="D196">
            <v>5</v>
          </cell>
          <cell r="E196">
            <v>65.091420829344003</v>
          </cell>
        </row>
        <row r="197">
          <cell r="B197" t="str">
            <v>Juwan Johnson</v>
          </cell>
          <cell r="C197" t="str">
            <v>TE25</v>
          </cell>
          <cell r="D197">
            <v>11</v>
          </cell>
          <cell r="E197">
            <v>94.073459978623987</v>
          </cell>
        </row>
        <row r="198">
          <cell r="B198" t="str">
            <v>Jaylen Wright</v>
          </cell>
          <cell r="C198" t="str">
            <v>RB64</v>
          </cell>
          <cell r="D198">
            <v>12</v>
          </cell>
          <cell r="E198">
            <v>60.566951526989079</v>
          </cell>
        </row>
        <row r="199">
          <cell r="B199" t="str">
            <v>Raheem Mostert</v>
          </cell>
          <cell r="C199" t="str">
            <v>RB65</v>
          </cell>
          <cell r="D199">
            <v>8</v>
          </cell>
          <cell r="E199">
            <v>60.448982676265103</v>
          </cell>
        </row>
        <row r="200">
          <cell r="B200" t="str">
            <v>KaVontae Turpin</v>
          </cell>
          <cell r="C200" t="str">
            <v>WR94</v>
          </cell>
          <cell r="D200">
            <v>10</v>
          </cell>
          <cell r="E200">
            <v>63.358983285031101</v>
          </cell>
        </row>
        <row r="201">
          <cell r="B201" t="str">
            <v>Roschon Johnson</v>
          </cell>
          <cell r="C201" t="str">
            <v>RB66</v>
          </cell>
          <cell r="D201">
            <v>5</v>
          </cell>
          <cell r="E201">
            <v>60.43835016647914</v>
          </cell>
        </row>
        <row r="202">
          <cell r="B202" t="str">
            <v>Dalton Schultz</v>
          </cell>
          <cell r="C202" t="str">
            <v>TE26</v>
          </cell>
          <cell r="D202">
            <v>6</v>
          </cell>
          <cell r="E202">
            <v>92.87274917112191</v>
          </cell>
        </row>
        <row r="203">
          <cell r="B203" t="str">
            <v>DJ Giddens</v>
          </cell>
          <cell r="C203" t="str">
            <v>RB67</v>
          </cell>
          <cell r="D203">
            <v>11</v>
          </cell>
          <cell r="E203">
            <v>59.362320302587406</v>
          </cell>
        </row>
        <row r="204">
          <cell r="B204" t="str">
            <v>Chris Rodriguez</v>
          </cell>
          <cell r="C204" t="str">
            <v>RB68</v>
          </cell>
          <cell r="D204">
            <v>12</v>
          </cell>
          <cell r="E204">
            <v>59.168671115555441</v>
          </cell>
        </row>
        <row r="205">
          <cell r="B205" t="str">
            <v>Kyle Williams</v>
          </cell>
          <cell r="C205" t="str">
            <v>WR95</v>
          </cell>
          <cell r="D205">
            <v>14</v>
          </cell>
          <cell r="E205">
            <v>61.081091448652813</v>
          </cell>
        </row>
        <row r="206">
          <cell r="B206" t="str">
            <v>Drake Maye</v>
          </cell>
          <cell r="C206" t="str">
            <v>QB16</v>
          </cell>
          <cell r="D206">
            <v>14</v>
          </cell>
          <cell r="E206">
            <v>292.55955247041601</v>
          </cell>
        </row>
        <row r="207">
          <cell r="B207" t="str">
            <v>Keaton Mitchell</v>
          </cell>
          <cell r="C207" t="str">
            <v>RB69</v>
          </cell>
          <cell r="D207">
            <v>7</v>
          </cell>
          <cell r="E207">
            <v>54.927271580601619</v>
          </cell>
        </row>
        <row r="208">
          <cell r="B208" t="str">
            <v>Tyquan Thornton</v>
          </cell>
          <cell r="C208" t="str">
            <v>WR96</v>
          </cell>
          <cell r="D208">
            <v>10</v>
          </cell>
          <cell r="E208">
            <v>58.810357002110003</v>
          </cell>
        </row>
        <row r="209">
          <cell r="B209" t="str">
            <v>Chigoziem Okonkwo</v>
          </cell>
          <cell r="C209" t="str">
            <v>TE27</v>
          </cell>
          <cell r="D209">
            <v>10</v>
          </cell>
          <cell r="E209">
            <v>88.85897204405758</v>
          </cell>
        </row>
        <row r="210">
          <cell r="B210" t="str">
            <v>Colston Loveland</v>
          </cell>
          <cell r="C210" t="str">
            <v>TE28</v>
          </cell>
          <cell r="D210">
            <v>5</v>
          </cell>
          <cell r="E210">
            <v>88.801786771426208</v>
          </cell>
        </row>
        <row r="211">
          <cell r="B211" t="str">
            <v>Cade Otton</v>
          </cell>
          <cell r="C211" t="str">
            <v>TE29</v>
          </cell>
          <cell r="D211">
            <v>9</v>
          </cell>
          <cell r="E211">
            <v>88.464625030807227</v>
          </cell>
        </row>
        <row r="212">
          <cell r="B212" t="str">
            <v>Olamide Zaccheaus</v>
          </cell>
          <cell r="C212" t="str">
            <v>WR97</v>
          </cell>
          <cell r="D212">
            <v>5</v>
          </cell>
          <cell r="E212">
            <v>57.429121480012796</v>
          </cell>
        </row>
        <row r="213">
          <cell r="B213" t="str">
            <v>Chris Brooks</v>
          </cell>
          <cell r="C213" t="str">
            <v>RB70</v>
          </cell>
          <cell r="D213">
            <v>5</v>
          </cell>
          <cell r="E213">
            <v>52.815930830208011</v>
          </cell>
        </row>
        <row r="214">
          <cell r="B214" t="str">
            <v>Jarquez Hunter</v>
          </cell>
          <cell r="C214" t="str">
            <v>RB71</v>
          </cell>
          <cell r="D214">
            <v>8</v>
          </cell>
          <cell r="E214">
            <v>52.351890999308196</v>
          </cell>
        </row>
        <row r="215">
          <cell r="B215" t="str">
            <v>Kareem Hunt</v>
          </cell>
          <cell r="C215" t="str">
            <v>RB72</v>
          </cell>
          <cell r="D215">
            <v>10</v>
          </cell>
          <cell r="E215">
            <v>52.248273960508506</v>
          </cell>
        </row>
        <row r="216">
          <cell r="B216" t="str">
            <v>Miles Sanders</v>
          </cell>
          <cell r="C216" t="str">
            <v>RB73</v>
          </cell>
          <cell r="D216">
            <v>10</v>
          </cell>
          <cell r="E216">
            <v>51.809160873657348</v>
          </cell>
        </row>
        <row r="217">
          <cell r="B217" t="str">
            <v>Blake Corum</v>
          </cell>
          <cell r="C217" t="str">
            <v>RB74</v>
          </cell>
          <cell r="D217">
            <v>8</v>
          </cell>
          <cell r="E217">
            <v>51.063071470127383</v>
          </cell>
        </row>
        <row r="218">
          <cell r="B218" t="str">
            <v>Mack Hollins</v>
          </cell>
          <cell r="C218" t="str">
            <v>WR98</v>
          </cell>
          <cell r="D218">
            <v>14</v>
          </cell>
          <cell r="E218">
            <v>54.812680138782724</v>
          </cell>
        </row>
        <row r="219">
          <cell r="B219" t="str">
            <v>Devin Neal</v>
          </cell>
          <cell r="C219" t="str">
            <v>RB75</v>
          </cell>
          <cell r="D219">
            <v>11</v>
          </cell>
          <cell r="E219">
            <v>49.515810896078797</v>
          </cell>
        </row>
        <row r="220">
          <cell r="B220" t="str">
            <v>Jared Goff</v>
          </cell>
          <cell r="C220" t="str">
            <v>QB17</v>
          </cell>
          <cell r="D220">
            <v>8</v>
          </cell>
          <cell r="E220">
            <v>289.17259219181915</v>
          </cell>
        </row>
        <row r="221">
          <cell r="B221" t="str">
            <v>Jermaine Burton</v>
          </cell>
          <cell r="C221" t="str">
            <v>WR99</v>
          </cell>
          <cell r="D221">
            <v>10</v>
          </cell>
          <cell r="E221">
            <v>54.22457700699313</v>
          </cell>
        </row>
        <row r="222">
          <cell r="B222" t="str">
            <v>Allen Lazard</v>
          </cell>
          <cell r="C222" t="str">
            <v>WR100</v>
          </cell>
          <cell r="D222">
            <v>9</v>
          </cell>
          <cell r="E222">
            <v>52.4762385635619</v>
          </cell>
        </row>
        <row r="223">
          <cell r="B223" t="str">
            <v>Jalen Tolbert</v>
          </cell>
          <cell r="C223" t="str">
            <v>WR101</v>
          </cell>
          <cell r="D223">
            <v>10</v>
          </cell>
          <cell r="E223">
            <v>52.377723789744095</v>
          </cell>
        </row>
        <row r="224">
          <cell r="B224" t="str">
            <v>Greg Dortch</v>
          </cell>
          <cell r="C224" t="str">
            <v>WR102</v>
          </cell>
          <cell r="D224">
            <v>8</v>
          </cell>
          <cell r="E224">
            <v>51.974005452590809</v>
          </cell>
        </row>
        <row r="225">
          <cell r="B225" t="str">
            <v>Devaughn Vele</v>
          </cell>
          <cell r="C225" t="str">
            <v>WR103</v>
          </cell>
          <cell r="D225">
            <v>11</v>
          </cell>
          <cell r="E225">
            <v>51.625777273523596</v>
          </cell>
        </row>
        <row r="226">
          <cell r="B226" t="str">
            <v>Jahan Dotson</v>
          </cell>
          <cell r="C226" t="str">
            <v>WR104</v>
          </cell>
          <cell r="D226">
            <v>9</v>
          </cell>
          <cell r="E226">
            <v>50.639199925294662</v>
          </cell>
        </row>
        <row r="227">
          <cell r="B227" t="str">
            <v>Isaiah Bond</v>
          </cell>
          <cell r="C227" t="str">
            <v>WR105</v>
          </cell>
          <cell r="D227">
            <v>9</v>
          </cell>
          <cell r="E227">
            <v>50.433651827684997</v>
          </cell>
        </row>
        <row r="228">
          <cell r="B228" t="str">
            <v>Tre Tucker</v>
          </cell>
          <cell r="C228" t="str">
            <v>WR106</v>
          </cell>
          <cell r="D228">
            <v>8</v>
          </cell>
          <cell r="E228">
            <v>49.897910790000012</v>
          </cell>
        </row>
        <row r="229">
          <cell r="B229" t="str">
            <v>Jamari Thrash</v>
          </cell>
          <cell r="C229" t="str">
            <v>WR107</v>
          </cell>
          <cell r="D229">
            <v>9</v>
          </cell>
          <cell r="E229">
            <v>49.726045463639998</v>
          </cell>
        </row>
        <row r="230">
          <cell r="B230" t="str">
            <v>Samaje Perine</v>
          </cell>
          <cell r="C230" t="str">
            <v>RB76</v>
          </cell>
          <cell r="D230">
            <v>10</v>
          </cell>
          <cell r="E230">
            <v>43.182765923435852</v>
          </cell>
        </row>
        <row r="231">
          <cell r="B231" t="str">
            <v>Pat Bryant</v>
          </cell>
          <cell r="C231" t="str">
            <v>WR108</v>
          </cell>
          <cell r="D231">
            <v>12</v>
          </cell>
          <cell r="E231">
            <v>48.969594731680004</v>
          </cell>
        </row>
        <row r="232">
          <cell r="B232" t="str">
            <v>Kayshon Boutte</v>
          </cell>
          <cell r="C232" t="str">
            <v>WR109</v>
          </cell>
          <cell r="D232">
            <v>14</v>
          </cell>
          <cell r="E232">
            <v>48.80436759953664</v>
          </cell>
        </row>
        <row r="233">
          <cell r="B233" t="str">
            <v>Geno Smith</v>
          </cell>
          <cell r="C233" t="str">
            <v>QB18</v>
          </cell>
          <cell r="D233">
            <v>8</v>
          </cell>
          <cell r="E233">
            <v>283.77656790978136</v>
          </cell>
        </row>
        <row r="234">
          <cell r="B234" t="str">
            <v>Brandin Cooks</v>
          </cell>
          <cell r="C234" t="str">
            <v>WR110</v>
          </cell>
          <cell r="D234">
            <v>11</v>
          </cell>
          <cell r="E234">
            <v>48.495567099548794</v>
          </cell>
        </row>
        <row r="235">
          <cell r="B235" t="str">
            <v>Dameon Pierce</v>
          </cell>
          <cell r="C235" t="str">
            <v>RB77</v>
          </cell>
          <cell r="D235">
            <v>6</v>
          </cell>
          <cell r="E235">
            <v>39.878101107390002</v>
          </cell>
        </row>
        <row r="236">
          <cell r="B236" t="str">
            <v>Ty Johnson</v>
          </cell>
          <cell r="C236" t="str">
            <v>RB78</v>
          </cell>
          <cell r="D236">
            <v>7</v>
          </cell>
          <cell r="E236">
            <v>38.291341107607188</v>
          </cell>
        </row>
        <row r="237">
          <cell r="B237" t="str">
            <v>Justin Herbert</v>
          </cell>
          <cell r="C237" t="str">
            <v>QB19</v>
          </cell>
          <cell r="D237">
            <v>12</v>
          </cell>
          <cell r="E237">
            <v>283.08430310047999</v>
          </cell>
        </row>
        <row r="238">
          <cell r="B238" t="str">
            <v>Isaac Guerendo</v>
          </cell>
          <cell r="C238" t="str">
            <v>RB79</v>
          </cell>
          <cell r="D238">
            <v>14</v>
          </cell>
          <cell r="E238">
            <v>36.952066090177546</v>
          </cell>
        </row>
        <row r="239">
          <cell r="B239" t="str">
            <v>Pat Freiermuth</v>
          </cell>
          <cell r="C239" t="str">
            <v>TE30</v>
          </cell>
          <cell r="D239">
            <v>5</v>
          </cell>
          <cell r="E239">
            <v>74.865853422360004</v>
          </cell>
        </row>
        <row r="240">
          <cell r="B240" t="str">
            <v>Sam Darnold</v>
          </cell>
          <cell r="C240" t="str">
            <v>QB20</v>
          </cell>
          <cell r="D240">
            <v>8</v>
          </cell>
          <cell r="E240">
            <v>282.39006651855999</v>
          </cell>
        </row>
        <row r="241">
          <cell r="B241" t="str">
            <v>Mike Gesicki</v>
          </cell>
          <cell r="C241" t="str">
            <v>TE31</v>
          </cell>
          <cell r="D241">
            <v>10</v>
          </cell>
          <cell r="E241">
            <v>72.598592806676265</v>
          </cell>
        </row>
        <row r="242">
          <cell r="B242" t="str">
            <v>Terrance Ferguson</v>
          </cell>
          <cell r="C242" t="str">
            <v>TE32</v>
          </cell>
          <cell r="D242">
            <v>8</v>
          </cell>
          <cell r="E242">
            <v>72.208059911291741</v>
          </cell>
        </row>
        <row r="243">
          <cell r="B243" t="str">
            <v>Tua Tagovailoa</v>
          </cell>
          <cell r="C243" t="str">
            <v>QB21</v>
          </cell>
          <cell r="D243">
            <v>12</v>
          </cell>
          <cell r="E243">
            <v>279.41468162531413</v>
          </cell>
        </row>
        <row r="244">
          <cell r="B244" t="str">
            <v>Isaiah Davis</v>
          </cell>
          <cell r="C244" t="str">
            <v>RB80</v>
          </cell>
          <cell r="D244">
            <v>9</v>
          </cell>
          <cell r="E244">
            <v>31.077140141605629</v>
          </cell>
        </row>
        <row r="245">
          <cell r="B245" t="str">
            <v>MarShawn Lloyd</v>
          </cell>
          <cell r="C245" t="str">
            <v>RB81</v>
          </cell>
          <cell r="D245">
            <v>5</v>
          </cell>
          <cell r="E245">
            <v>29.213347203465599</v>
          </cell>
        </row>
        <row r="246">
          <cell r="B246" t="str">
            <v>Sean Tucker</v>
          </cell>
          <cell r="C246" t="str">
            <v>RB82</v>
          </cell>
          <cell r="D246">
            <v>9</v>
          </cell>
          <cell r="E246">
            <v>28.947461781009583</v>
          </cell>
        </row>
        <row r="247">
          <cell r="B247" t="str">
            <v>AJ Dillon</v>
          </cell>
          <cell r="C247" t="str">
            <v>RB83</v>
          </cell>
          <cell r="D247">
            <v>9</v>
          </cell>
          <cell r="E247">
            <v>28.66794311353565</v>
          </cell>
        </row>
        <row r="248">
          <cell r="B248" t="str">
            <v>Trevor Etienne</v>
          </cell>
          <cell r="C248" t="str">
            <v>RB84</v>
          </cell>
          <cell r="D248">
            <v>14</v>
          </cell>
          <cell r="E248">
            <v>27.508695807629046</v>
          </cell>
        </row>
        <row r="249">
          <cell r="B249" t="str">
            <v>Jaleel McLaughlin</v>
          </cell>
          <cell r="C249" t="str">
            <v>RB85</v>
          </cell>
          <cell r="D249">
            <v>12</v>
          </cell>
          <cell r="E249">
            <v>25.706289667519997</v>
          </cell>
        </row>
        <row r="250">
          <cell r="B250" t="str">
            <v>Emanuel Wilson</v>
          </cell>
          <cell r="C250" t="str">
            <v>RB86</v>
          </cell>
          <cell r="D250">
            <v>5</v>
          </cell>
          <cell r="E250">
            <v>25.474152498951771</v>
          </cell>
        </row>
        <row r="251">
          <cell r="B251" t="str">
            <v>Antonio Gibson</v>
          </cell>
          <cell r="C251" t="str">
            <v>RB87</v>
          </cell>
          <cell r="D251">
            <v>14</v>
          </cell>
          <cell r="E251">
            <v>24.404783269684973</v>
          </cell>
        </row>
        <row r="252">
          <cell r="B252" t="str">
            <v>Craig Reynolds</v>
          </cell>
          <cell r="C252" t="str">
            <v>RB88</v>
          </cell>
          <cell r="D252">
            <v>8</v>
          </cell>
          <cell r="E252">
            <v>23.238139331882387</v>
          </cell>
        </row>
        <row r="253">
          <cell r="B253" t="str">
            <v>AJ Barner</v>
          </cell>
          <cell r="C253" t="str">
            <v>TE33</v>
          </cell>
          <cell r="D253">
            <v>8</v>
          </cell>
          <cell r="E253">
            <v>62.69304568310784</v>
          </cell>
        </row>
        <row r="254">
          <cell r="B254" t="str">
            <v>Jordan Love</v>
          </cell>
          <cell r="C254" t="str">
            <v>QB22</v>
          </cell>
          <cell r="D254">
            <v>5</v>
          </cell>
          <cell r="E254">
            <v>274.38326973241618</v>
          </cell>
        </row>
        <row r="255">
          <cell r="B255" t="str">
            <v>Devin Singletary</v>
          </cell>
          <cell r="C255" t="str">
            <v>RB89</v>
          </cell>
          <cell r="D255">
            <v>14</v>
          </cell>
          <cell r="E255">
            <v>19.542796553841022</v>
          </cell>
        </row>
        <row r="256">
          <cell r="B256" t="str">
            <v>Bryce Young</v>
          </cell>
          <cell r="C256" t="str">
            <v>QB23</v>
          </cell>
          <cell r="D256">
            <v>14</v>
          </cell>
          <cell r="E256">
            <v>272.86384063636029</v>
          </cell>
        </row>
        <row r="257">
          <cell r="B257" t="str">
            <v>Michael Mayer</v>
          </cell>
          <cell r="C257" t="str">
            <v>TE34</v>
          </cell>
          <cell r="D257">
            <v>8</v>
          </cell>
          <cell r="E257">
            <v>60.471282209804642</v>
          </cell>
        </row>
        <row r="258">
          <cell r="B258" t="str">
            <v>Justice Hill</v>
          </cell>
          <cell r="C258" t="str">
            <v>RB90</v>
          </cell>
          <cell r="D258">
            <v>7</v>
          </cell>
          <cell r="E258">
            <v>18.214831987135085</v>
          </cell>
        </row>
        <row r="259">
          <cell r="B259" t="str">
            <v>George Holani</v>
          </cell>
          <cell r="C259" t="str">
            <v>RB91</v>
          </cell>
          <cell r="D259">
            <v>8</v>
          </cell>
          <cell r="E259">
            <v>17.635355105367129</v>
          </cell>
        </row>
        <row r="260">
          <cell r="B260" t="str">
            <v>Tyler Goodson</v>
          </cell>
          <cell r="C260" t="str">
            <v>RB92</v>
          </cell>
          <cell r="D260">
            <v>11</v>
          </cell>
          <cell r="E260">
            <v>16.143011968943998</v>
          </cell>
        </row>
        <row r="261">
          <cell r="B261" t="str">
            <v>Hassan Haskins</v>
          </cell>
          <cell r="C261" t="str">
            <v>RB93</v>
          </cell>
          <cell r="D261">
            <v>12</v>
          </cell>
          <cell r="E261">
            <v>15.565802645416801</v>
          </cell>
        </row>
        <row r="262">
          <cell r="B262" t="str">
            <v>Nathan Carter</v>
          </cell>
          <cell r="C262" t="str">
            <v>RB94</v>
          </cell>
          <cell r="D262">
            <v>5</v>
          </cell>
          <cell r="E262">
            <v>15.504908090375928</v>
          </cell>
        </row>
        <row r="263">
          <cell r="B263" t="str">
            <v>Ben Sinnott</v>
          </cell>
          <cell r="C263" t="str">
            <v>TE35</v>
          </cell>
          <cell r="D263">
            <v>12</v>
          </cell>
          <cell r="E263">
            <v>56.970830354488982</v>
          </cell>
        </row>
        <row r="264">
          <cell r="B264" t="str">
            <v>LeQuint Allen</v>
          </cell>
          <cell r="C264" t="str">
            <v>RB95</v>
          </cell>
          <cell r="D264">
            <v>8</v>
          </cell>
          <cell r="E264">
            <v>14.523776743901601</v>
          </cell>
        </row>
        <row r="265">
          <cell r="B265" t="str">
            <v>Raheim Sanders</v>
          </cell>
          <cell r="C265" t="str">
            <v>RB96</v>
          </cell>
          <cell r="D265">
            <v>9</v>
          </cell>
          <cell r="E265">
            <v>14.200455655049998</v>
          </cell>
        </row>
        <row r="266">
          <cell r="B266" t="str">
            <v>Michael Penix Jr</v>
          </cell>
          <cell r="C266" t="str">
            <v>QB24</v>
          </cell>
          <cell r="D266">
            <v>5</v>
          </cell>
          <cell r="E266">
            <v>270.88156750548097</v>
          </cell>
        </row>
        <row r="267">
          <cell r="B267" t="str">
            <v>Jordan James</v>
          </cell>
          <cell r="C267" t="str">
            <v>RB97</v>
          </cell>
          <cell r="D267">
            <v>14</v>
          </cell>
          <cell r="E267">
            <v>13.503551488410888</v>
          </cell>
        </row>
        <row r="268">
          <cell r="B268" t="str">
            <v>DeeJay Dallas</v>
          </cell>
          <cell r="C268" t="str">
            <v>RB98</v>
          </cell>
          <cell r="D268">
            <v>8</v>
          </cell>
          <cell r="E268">
            <v>12.958497984137923</v>
          </cell>
        </row>
        <row r="269">
          <cell r="B269" t="str">
            <v>Zamir White</v>
          </cell>
          <cell r="C269" t="str">
            <v>RB99</v>
          </cell>
          <cell r="D269">
            <v>8</v>
          </cell>
          <cell r="E269">
            <v>12.564950668163224</v>
          </cell>
        </row>
        <row r="270">
          <cell r="B270" t="str">
            <v>Phil Mafah</v>
          </cell>
          <cell r="C270" t="str">
            <v>RB100</v>
          </cell>
          <cell r="D270">
            <v>10</v>
          </cell>
          <cell r="E270">
            <v>12.419063739521357</v>
          </cell>
        </row>
        <row r="271">
          <cell r="B271" t="str">
            <v>Noah Gray</v>
          </cell>
          <cell r="C271" t="str">
            <v>TE36</v>
          </cell>
          <cell r="D271">
            <v>10</v>
          </cell>
          <cell r="E271">
            <v>54.279510999069984</v>
          </cell>
        </row>
        <row r="272">
          <cell r="B272" t="str">
            <v>Elijah Arroyo</v>
          </cell>
          <cell r="C272" t="str">
            <v>TE37</v>
          </cell>
          <cell r="D272">
            <v>8</v>
          </cell>
          <cell r="E272">
            <v>54.095797297301758</v>
          </cell>
        </row>
        <row r="273">
          <cell r="B273" t="str">
            <v>Cole Kmet</v>
          </cell>
          <cell r="C273" t="str">
            <v>TE38</v>
          </cell>
          <cell r="D273">
            <v>5</v>
          </cell>
          <cell r="E273">
            <v>53.81046557231447</v>
          </cell>
        </row>
        <row r="274">
          <cell r="B274" t="str">
            <v>Tyler Higbee</v>
          </cell>
          <cell r="C274" t="str">
            <v>TE39</v>
          </cell>
          <cell r="D274">
            <v>8</v>
          </cell>
          <cell r="E274">
            <v>51.509189195497562</v>
          </cell>
        </row>
        <row r="275">
          <cell r="B275" t="str">
            <v>JJ McCarthy</v>
          </cell>
          <cell r="C275" t="str">
            <v>QB25</v>
          </cell>
          <cell r="D275">
            <v>6</v>
          </cell>
          <cell r="E275">
            <v>266.84551510499995</v>
          </cell>
        </row>
        <row r="276">
          <cell r="B276" t="str">
            <v>Cam Ward</v>
          </cell>
          <cell r="C276" t="str">
            <v>QB26</v>
          </cell>
          <cell r="D276">
            <v>10</v>
          </cell>
          <cell r="E276">
            <v>261.90983072113136</v>
          </cell>
        </row>
        <row r="277">
          <cell r="B277" t="str">
            <v>Tyler Conklin</v>
          </cell>
          <cell r="C277" t="str">
            <v>TE40</v>
          </cell>
          <cell r="D277">
            <v>12</v>
          </cell>
          <cell r="E277">
            <v>45.501177825268194</v>
          </cell>
        </row>
        <row r="278">
          <cell r="B278" t="str">
            <v>Harold Fannin</v>
          </cell>
          <cell r="C278" t="str">
            <v>TE41</v>
          </cell>
          <cell r="D278">
            <v>9</v>
          </cell>
          <cell r="E278">
            <v>45.481677499189139</v>
          </cell>
        </row>
        <row r="279">
          <cell r="B279" t="str">
            <v>Oronde Gadsden</v>
          </cell>
          <cell r="C279" t="str">
            <v>TE42</v>
          </cell>
          <cell r="D279">
            <v>12</v>
          </cell>
          <cell r="E279">
            <v>40.533990782319997</v>
          </cell>
        </row>
        <row r="280">
          <cell r="B280" t="str">
            <v>Noah Fant</v>
          </cell>
          <cell r="C280" t="str">
            <v>TE43</v>
          </cell>
          <cell r="D280">
            <v>10</v>
          </cell>
          <cell r="E280">
            <v>36.496950733657684</v>
          </cell>
        </row>
        <row r="281">
          <cell r="B281" t="str">
            <v>Tommy Tremble</v>
          </cell>
          <cell r="C281" t="str">
            <v>TE44</v>
          </cell>
          <cell r="D281">
            <v>14</v>
          </cell>
          <cell r="E281">
            <v>34.214108884997991</v>
          </cell>
        </row>
        <row r="282">
          <cell r="B282" t="str">
            <v>Dawson Knox</v>
          </cell>
          <cell r="C282" t="str">
            <v>TE45</v>
          </cell>
          <cell r="D282">
            <v>7</v>
          </cell>
          <cell r="E282">
            <v>33.628373274962598</v>
          </cell>
        </row>
        <row r="283">
          <cell r="B283" t="str">
            <v>Luke Musgrave</v>
          </cell>
          <cell r="C283" t="str">
            <v>TE46</v>
          </cell>
          <cell r="D283">
            <v>5</v>
          </cell>
          <cell r="E283">
            <v>31.312019633164667</v>
          </cell>
        </row>
        <row r="284">
          <cell r="B284" t="str">
            <v>Aaron Rodgers</v>
          </cell>
          <cell r="C284" t="str">
            <v>QB27</v>
          </cell>
          <cell r="D284">
            <v>5</v>
          </cell>
          <cell r="E284">
            <v>248.36390297780997</v>
          </cell>
        </row>
        <row r="285">
          <cell r="B285" t="str">
            <v>Austin Hooper</v>
          </cell>
          <cell r="C285" t="str">
            <v>TE47</v>
          </cell>
          <cell r="D285">
            <v>14</v>
          </cell>
          <cell r="E285">
            <v>30.803075324582405</v>
          </cell>
        </row>
        <row r="286">
          <cell r="B286" t="str">
            <v>Foster Moreau</v>
          </cell>
          <cell r="C286" t="str">
            <v>TE48</v>
          </cell>
          <cell r="D286">
            <v>11</v>
          </cell>
          <cell r="E286">
            <v>29.385269596813195</v>
          </cell>
        </row>
        <row r="287">
          <cell r="B287" t="str">
            <v>Luke Schoonmaker</v>
          </cell>
          <cell r="C287" t="str">
            <v>TE49</v>
          </cell>
          <cell r="D287">
            <v>10</v>
          </cell>
          <cell r="E287">
            <v>27.232826874353094</v>
          </cell>
        </row>
        <row r="288">
          <cell r="B288" t="str">
            <v>Daniel Bellinger</v>
          </cell>
          <cell r="C288" t="str">
            <v>TE50</v>
          </cell>
          <cell r="D288">
            <v>14</v>
          </cell>
          <cell r="E288">
            <v>26.871608133512446</v>
          </cell>
        </row>
        <row r="289">
          <cell r="B289" t="str">
            <v>Matthew Stafford</v>
          </cell>
          <cell r="C289" t="str">
            <v>QB28</v>
          </cell>
          <cell r="D289">
            <v>8</v>
          </cell>
          <cell r="E289">
            <v>236.88977804227537</v>
          </cell>
        </row>
        <row r="290">
          <cell r="B290" t="str">
            <v>Daniel Jones</v>
          </cell>
          <cell r="C290" t="str">
            <v>QB29</v>
          </cell>
          <cell r="D290">
            <v>11</v>
          </cell>
          <cell r="E290">
            <v>182.06015661722085</v>
          </cell>
        </row>
        <row r="291">
          <cell r="B291" t="str">
            <v>Russell Wilson</v>
          </cell>
          <cell r="C291" t="str">
            <v>QB30</v>
          </cell>
          <cell r="D291">
            <v>14</v>
          </cell>
          <cell r="E291">
            <v>167.12126996849997</v>
          </cell>
        </row>
        <row r="292">
          <cell r="B292" t="str">
            <v>Spencer Rattler</v>
          </cell>
          <cell r="C292" t="str">
            <v>QB31</v>
          </cell>
          <cell r="D292">
            <v>11</v>
          </cell>
          <cell r="E292">
            <v>150.94587505759995</v>
          </cell>
        </row>
        <row r="293">
          <cell r="B293" t="str">
            <v>Joe Flacco</v>
          </cell>
          <cell r="C293" t="str">
            <v>QB32</v>
          </cell>
          <cell r="D293">
            <v>9</v>
          </cell>
          <cell r="E293">
            <v>144.60535908000003</v>
          </cell>
        </row>
        <row r="294">
          <cell r="B294" t="str">
            <v>Anthony Richardson</v>
          </cell>
          <cell r="C294" t="str">
            <v>QB33</v>
          </cell>
          <cell r="D294">
            <v>11</v>
          </cell>
          <cell r="E294">
            <v>113.61354353207437</v>
          </cell>
        </row>
        <row r="295">
          <cell r="B295" t="str">
            <v>Tyler Shough</v>
          </cell>
          <cell r="C295" t="str">
            <v>QB34</v>
          </cell>
          <cell r="D295">
            <v>11</v>
          </cell>
          <cell r="E295">
            <v>71.499970449599971</v>
          </cell>
        </row>
        <row r="296">
          <cell r="B296" t="str">
            <v>Jaxson Dart</v>
          </cell>
          <cell r="C296" t="str">
            <v>QB35</v>
          </cell>
          <cell r="D296">
            <v>14</v>
          </cell>
          <cell r="E296">
            <v>70.901424023040008</v>
          </cell>
        </row>
        <row r="297">
          <cell r="B297" t="str">
            <v>Dillon Gabriel</v>
          </cell>
          <cell r="C297" t="str">
            <v>QB36</v>
          </cell>
          <cell r="D297">
            <v>9</v>
          </cell>
          <cell r="E297">
            <v>47.820463253724029</v>
          </cell>
        </row>
        <row r="298">
          <cell r="B298" t="str">
            <v>Jimmy Garoppolo</v>
          </cell>
          <cell r="C298" t="str">
            <v>QB37</v>
          </cell>
          <cell r="D298">
            <v>8</v>
          </cell>
          <cell r="E298">
            <v>39.127237214301985</v>
          </cell>
        </row>
        <row r="299">
          <cell r="B299" t="str">
            <v>Shedeur Sanders</v>
          </cell>
          <cell r="C299" t="str">
            <v>QB38</v>
          </cell>
          <cell r="D299">
            <v>9</v>
          </cell>
          <cell r="E299">
            <v>37.449807674999995</v>
          </cell>
        </row>
        <row r="300">
          <cell r="B300" t="str">
            <v>Tyrod Taylor</v>
          </cell>
          <cell r="C300" t="str">
            <v>QB39</v>
          </cell>
          <cell r="D300">
            <v>9</v>
          </cell>
          <cell r="E300">
            <v>24.387857744388281</v>
          </cell>
        </row>
        <row r="301">
          <cell r="B301" t="str">
            <v>Jameis Winston</v>
          </cell>
          <cell r="C301" t="str">
            <v>QB40</v>
          </cell>
          <cell r="D301">
            <v>14</v>
          </cell>
          <cell r="E301">
            <v>19.510935451832093</v>
          </cell>
        </row>
      </sheetData>
      <sheetData sheetId="2">
        <row r="1">
          <cell r="B1" t="str">
            <v>OVERALL PLAYER</v>
          </cell>
          <cell r="C1" t="str">
            <v>POS RK</v>
          </cell>
          <cell r="D1" t="str">
            <v>BYE</v>
          </cell>
          <cell r="E1" t="str">
            <v>FPS</v>
          </cell>
        </row>
        <row r="2">
          <cell r="B2" t="str">
            <v>Christian McCaffrey</v>
          </cell>
          <cell r="C2" t="str">
            <v>RB1</v>
          </cell>
          <cell r="D2">
            <v>14</v>
          </cell>
          <cell r="E2">
            <v>281.38483403509758</v>
          </cell>
        </row>
        <row r="3">
          <cell r="B3" t="str">
            <v>Jahmyr Gibbs</v>
          </cell>
          <cell r="C3" t="str">
            <v>RB2</v>
          </cell>
          <cell r="D3">
            <v>8</v>
          </cell>
          <cell r="E3">
            <v>256.03490388803368</v>
          </cell>
        </row>
        <row r="4">
          <cell r="B4" t="str">
            <v>Ja'Marr Chase</v>
          </cell>
          <cell r="C4" t="str">
            <v>WR1</v>
          </cell>
          <cell r="D4">
            <v>10</v>
          </cell>
          <cell r="E4">
            <v>207.39867302758918</v>
          </cell>
        </row>
        <row r="5">
          <cell r="B5" t="str">
            <v>Derrick Henry</v>
          </cell>
          <cell r="C5" t="str">
            <v>RB3</v>
          </cell>
          <cell r="D5">
            <v>7</v>
          </cell>
          <cell r="E5">
            <v>254.87820622990762</v>
          </cell>
        </row>
        <row r="6">
          <cell r="B6" t="str">
            <v>Bijan Robinson</v>
          </cell>
          <cell r="C6" t="str">
            <v>RB4</v>
          </cell>
          <cell r="D6">
            <v>5</v>
          </cell>
          <cell r="E6">
            <v>254.09682629213097</v>
          </cell>
        </row>
        <row r="7">
          <cell r="B7" t="str">
            <v>Saquon Barkley</v>
          </cell>
          <cell r="C7" t="str">
            <v>RB5</v>
          </cell>
          <cell r="D7">
            <v>9</v>
          </cell>
          <cell r="E7">
            <v>247.30822780159448</v>
          </cell>
        </row>
        <row r="8">
          <cell r="B8" t="str">
            <v>Bucky Irving</v>
          </cell>
          <cell r="C8" t="str">
            <v>RB6</v>
          </cell>
          <cell r="D8">
            <v>9</v>
          </cell>
          <cell r="E8">
            <v>240.59004812182042</v>
          </cell>
        </row>
        <row r="9">
          <cell r="B9" t="str">
            <v>CeeDee Lamb</v>
          </cell>
          <cell r="C9" t="str">
            <v>WR2</v>
          </cell>
          <cell r="D9">
            <v>10</v>
          </cell>
          <cell r="E9">
            <v>193.49573840539659</v>
          </cell>
        </row>
        <row r="10">
          <cell r="B10" t="str">
            <v>Justin Jefferson</v>
          </cell>
          <cell r="C10" t="str">
            <v>WR3</v>
          </cell>
          <cell r="D10">
            <v>6</v>
          </cell>
          <cell r="E10">
            <v>191.55120024767996</v>
          </cell>
        </row>
        <row r="11">
          <cell r="B11" t="str">
            <v>Josh Jacobs</v>
          </cell>
          <cell r="C11" t="str">
            <v>RB7</v>
          </cell>
          <cell r="D11">
            <v>5</v>
          </cell>
          <cell r="E11">
            <v>232.67528106733235</v>
          </cell>
        </row>
        <row r="12">
          <cell r="B12" t="str">
            <v>Puka Nacua</v>
          </cell>
          <cell r="C12" t="str">
            <v>WR4</v>
          </cell>
          <cell r="D12">
            <v>8</v>
          </cell>
          <cell r="E12">
            <v>185.11018197096516</v>
          </cell>
        </row>
        <row r="13">
          <cell r="B13" t="str">
            <v>Jonathan Taylor</v>
          </cell>
          <cell r="C13" t="str">
            <v>RB8</v>
          </cell>
          <cell r="D13">
            <v>11</v>
          </cell>
          <cell r="E13">
            <v>226.13462681788943</v>
          </cell>
        </row>
        <row r="14">
          <cell r="B14" t="str">
            <v>Kyren Williams</v>
          </cell>
          <cell r="C14" t="str">
            <v>RB9</v>
          </cell>
          <cell r="D14">
            <v>8</v>
          </cell>
          <cell r="E14">
            <v>224.82382567325683</v>
          </cell>
        </row>
        <row r="15">
          <cell r="B15" t="str">
            <v>Amon-Ra St Brown</v>
          </cell>
          <cell r="C15" t="str">
            <v>WR5</v>
          </cell>
          <cell r="D15">
            <v>8</v>
          </cell>
          <cell r="E15">
            <v>180.31858938584787</v>
          </cell>
        </row>
        <row r="16">
          <cell r="B16" t="str">
            <v>Brian Thomas Jr</v>
          </cell>
          <cell r="C16" t="str">
            <v>WR6</v>
          </cell>
          <cell r="D16">
            <v>8</v>
          </cell>
          <cell r="E16">
            <v>177.78246758392424</v>
          </cell>
        </row>
        <row r="17">
          <cell r="B17" t="str">
            <v>Drake London</v>
          </cell>
          <cell r="C17" t="str">
            <v>WR7</v>
          </cell>
          <cell r="D17">
            <v>5</v>
          </cell>
          <cell r="E17">
            <v>174.98360054649604</v>
          </cell>
        </row>
        <row r="18">
          <cell r="B18" t="str">
            <v>De'Von Achane</v>
          </cell>
          <cell r="C18" t="str">
            <v>RB10</v>
          </cell>
          <cell r="D18">
            <v>12</v>
          </cell>
          <cell r="E18">
            <v>214.11342197592441</v>
          </cell>
        </row>
        <row r="19">
          <cell r="B19" t="str">
            <v>Jameson Williams</v>
          </cell>
          <cell r="C19" t="str">
            <v>WR8</v>
          </cell>
          <cell r="D19">
            <v>8</v>
          </cell>
          <cell r="E19">
            <v>173.23124698369656</v>
          </cell>
        </row>
        <row r="20">
          <cell r="B20" t="str">
            <v>Tyreek Hill</v>
          </cell>
          <cell r="C20" t="str">
            <v>WR9</v>
          </cell>
          <cell r="D20">
            <v>12</v>
          </cell>
          <cell r="E20">
            <v>172.80412248685829</v>
          </cell>
        </row>
        <row r="21">
          <cell r="B21" t="str">
            <v>Nico Collins</v>
          </cell>
          <cell r="C21" t="str">
            <v>WR10</v>
          </cell>
          <cell r="D21">
            <v>6</v>
          </cell>
          <cell r="E21">
            <v>171.98196319119816</v>
          </cell>
        </row>
        <row r="22">
          <cell r="B22" t="str">
            <v>Ashton Jeanty</v>
          </cell>
          <cell r="C22" t="str">
            <v>RB11</v>
          </cell>
          <cell r="D22">
            <v>8</v>
          </cell>
          <cell r="E22">
            <v>210.46808606903238</v>
          </cell>
        </row>
        <row r="23">
          <cell r="B23" t="str">
            <v>Omarion Hampton</v>
          </cell>
          <cell r="C23" t="str">
            <v>RB12</v>
          </cell>
          <cell r="D23">
            <v>12</v>
          </cell>
          <cell r="E23">
            <v>209.76780616791996</v>
          </cell>
        </row>
        <row r="24">
          <cell r="B24" t="str">
            <v>Tee Higgins</v>
          </cell>
          <cell r="C24" t="str">
            <v>WR11</v>
          </cell>
          <cell r="D24">
            <v>10</v>
          </cell>
          <cell r="E24">
            <v>170.17917972254642</v>
          </cell>
        </row>
        <row r="25">
          <cell r="B25" t="str">
            <v>Malik Nabers</v>
          </cell>
          <cell r="C25" t="str">
            <v>WR12</v>
          </cell>
          <cell r="D25">
            <v>14</v>
          </cell>
          <cell r="E25">
            <v>169.8817317651577</v>
          </cell>
        </row>
        <row r="26">
          <cell r="B26" t="str">
            <v>Jaxon Smith-Njigba</v>
          </cell>
          <cell r="C26" t="str">
            <v>WR13</v>
          </cell>
          <cell r="D26">
            <v>8</v>
          </cell>
          <cell r="E26">
            <v>169.59324932566011</v>
          </cell>
        </row>
        <row r="27">
          <cell r="B27" t="str">
            <v>Chase Brown</v>
          </cell>
          <cell r="C27" t="str">
            <v>RB13</v>
          </cell>
          <cell r="D27">
            <v>10</v>
          </cell>
          <cell r="E27">
            <v>207.11632162491895</v>
          </cell>
        </row>
        <row r="28">
          <cell r="B28" t="str">
            <v>Davante Adams</v>
          </cell>
          <cell r="C28" t="str">
            <v>WR14</v>
          </cell>
          <cell r="D28">
            <v>8</v>
          </cell>
          <cell r="E28">
            <v>168.25538061749364</v>
          </cell>
        </row>
        <row r="29">
          <cell r="B29" t="str">
            <v>Mike Evans</v>
          </cell>
          <cell r="C29" t="str">
            <v>WR15</v>
          </cell>
          <cell r="D29">
            <v>9</v>
          </cell>
          <cell r="E29">
            <v>165.21041993418146</v>
          </cell>
        </row>
        <row r="30">
          <cell r="B30" t="str">
            <v>Alvin Kamara</v>
          </cell>
          <cell r="C30" t="str">
            <v>RB14</v>
          </cell>
          <cell r="D30">
            <v>11</v>
          </cell>
          <cell r="E30">
            <v>201.521694870972</v>
          </cell>
        </row>
        <row r="31">
          <cell r="B31" t="str">
            <v>Terry McLaurin</v>
          </cell>
          <cell r="C31" t="str">
            <v>WR16</v>
          </cell>
          <cell r="D31">
            <v>12</v>
          </cell>
          <cell r="E31">
            <v>163.006677544338</v>
          </cell>
        </row>
        <row r="32">
          <cell r="B32" t="str">
            <v>Calvin Ridley</v>
          </cell>
          <cell r="C32" t="str">
            <v>WR17</v>
          </cell>
          <cell r="D32">
            <v>10</v>
          </cell>
          <cell r="E32">
            <v>159.55007566750558</v>
          </cell>
        </row>
        <row r="33">
          <cell r="B33" t="str">
            <v>James Conner</v>
          </cell>
          <cell r="C33" t="str">
            <v>RB15</v>
          </cell>
          <cell r="D33">
            <v>8</v>
          </cell>
          <cell r="E33">
            <v>195.77030387096204</v>
          </cell>
        </row>
        <row r="34">
          <cell r="B34" t="str">
            <v>Xavier Worthy</v>
          </cell>
          <cell r="C34" t="str">
            <v>WR18</v>
          </cell>
          <cell r="D34">
            <v>10</v>
          </cell>
          <cell r="E34">
            <v>158.78067299679026</v>
          </cell>
        </row>
        <row r="35">
          <cell r="B35" t="str">
            <v>Lamar Jackson</v>
          </cell>
          <cell r="C35" t="str">
            <v>QB1</v>
          </cell>
          <cell r="D35">
            <v>7</v>
          </cell>
          <cell r="E35">
            <v>382.58688114878112</v>
          </cell>
        </row>
        <row r="36">
          <cell r="B36" t="str">
            <v>Ladd McConkey</v>
          </cell>
          <cell r="C36" t="str">
            <v>WR19</v>
          </cell>
          <cell r="D36">
            <v>12</v>
          </cell>
          <cell r="E36">
            <v>157.90864843513199</v>
          </cell>
        </row>
        <row r="37">
          <cell r="B37" t="str">
            <v>DK Metcalf</v>
          </cell>
          <cell r="C37" t="str">
            <v>WR20</v>
          </cell>
          <cell r="D37">
            <v>5</v>
          </cell>
          <cell r="E37">
            <v>156.83433914610001</v>
          </cell>
        </row>
        <row r="38">
          <cell r="B38" t="str">
            <v>AJ Brown</v>
          </cell>
          <cell r="C38" t="str">
            <v>WR21</v>
          </cell>
          <cell r="D38">
            <v>9</v>
          </cell>
          <cell r="E38">
            <v>155.26341806117577</v>
          </cell>
        </row>
        <row r="39">
          <cell r="B39" t="str">
            <v>Chuba Hubbard</v>
          </cell>
          <cell r="C39" t="str">
            <v>RB16</v>
          </cell>
          <cell r="D39">
            <v>14</v>
          </cell>
          <cell r="E39">
            <v>190.27350165940564</v>
          </cell>
        </row>
        <row r="40">
          <cell r="B40" t="str">
            <v>George Pickens</v>
          </cell>
          <cell r="C40" t="str">
            <v>WR22</v>
          </cell>
          <cell r="D40">
            <v>10</v>
          </cell>
          <cell r="E40">
            <v>152.2838526690357</v>
          </cell>
        </row>
        <row r="41">
          <cell r="B41" t="str">
            <v>Ricky Pearsall</v>
          </cell>
          <cell r="C41" t="str">
            <v>WR23</v>
          </cell>
          <cell r="D41">
            <v>14</v>
          </cell>
          <cell r="E41">
            <v>152.25610225825443</v>
          </cell>
        </row>
        <row r="42">
          <cell r="B42" t="str">
            <v>Kenneth Walker III</v>
          </cell>
          <cell r="C42" t="str">
            <v>RB17</v>
          </cell>
          <cell r="D42">
            <v>8</v>
          </cell>
          <cell r="E42">
            <v>185.52217788200099</v>
          </cell>
        </row>
        <row r="43">
          <cell r="B43" t="str">
            <v>Isiah Pacheco</v>
          </cell>
          <cell r="C43" t="str">
            <v>RB18</v>
          </cell>
          <cell r="D43">
            <v>10</v>
          </cell>
          <cell r="E43">
            <v>184.73973913342499</v>
          </cell>
        </row>
        <row r="44">
          <cell r="B44" t="str">
            <v>Emeka Egbuka</v>
          </cell>
          <cell r="C44" t="str">
            <v>WR24</v>
          </cell>
          <cell r="D44">
            <v>9</v>
          </cell>
          <cell r="E44">
            <v>150.24666282816094</v>
          </cell>
        </row>
        <row r="45">
          <cell r="B45" t="str">
            <v>Courtland Sutton</v>
          </cell>
          <cell r="C45" t="str">
            <v>WR25</v>
          </cell>
          <cell r="D45">
            <v>12</v>
          </cell>
          <cell r="E45">
            <v>149.42600088192</v>
          </cell>
        </row>
        <row r="46">
          <cell r="B46" t="str">
            <v>James Cook</v>
          </cell>
          <cell r="C46" t="str">
            <v>RB19</v>
          </cell>
          <cell r="D46">
            <v>7</v>
          </cell>
          <cell r="E46">
            <v>180.20180817035441</v>
          </cell>
        </row>
        <row r="47">
          <cell r="B47" t="str">
            <v>Tetairoa McMillan</v>
          </cell>
          <cell r="C47" t="str">
            <v>WR26</v>
          </cell>
          <cell r="D47">
            <v>14</v>
          </cell>
          <cell r="E47">
            <v>146.32410081099999</v>
          </cell>
        </row>
        <row r="48">
          <cell r="B48" t="str">
            <v>Jaylen Waddle</v>
          </cell>
          <cell r="C48" t="str">
            <v>WR27</v>
          </cell>
          <cell r="D48">
            <v>12</v>
          </cell>
          <cell r="E48">
            <v>145.51789939900081</v>
          </cell>
        </row>
        <row r="49">
          <cell r="B49" t="str">
            <v>TreVeyon Henderson</v>
          </cell>
          <cell r="C49" t="str">
            <v>RB20</v>
          </cell>
          <cell r="D49">
            <v>14</v>
          </cell>
          <cell r="E49">
            <v>177.10387554256405</v>
          </cell>
        </row>
        <row r="50">
          <cell r="B50" t="str">
            <v>Rome Odunze</v>
          </cell>
          <cell r="C50" t="str">
            <v>WR28</v>
          </cell>
          <cell r="D50">
            <v>5</v>
          </cell>
          <cell r="E50">
            <v>142.89066718617599</v>
          </cell>
        </row>
        <row r="51">
          <cell r="B51" t="str">
            <v>DeVonta Smith</v>
          </cell>
          <cell r="C51" t="str">
            <v>WR29</v>
          </cell>
          <cell r="D51">
            <v>9</v>
          </cell>
          <cell r="E51">
            <v>142.88855546718329</v>
          </cell>
        </row>
        <row r="52">
          <cell r="B52" t="str">
            <v>Garrett Wilson</v>
          </cell>
          <cell r="C52" t="str">
            <v>WR30</v>
          </cell>
          <cell r="D52">
            <v>9</v>
          </cell>
          <cell r="E52">
            <v>141.68197672768437</v>
          </cell>
        </row>
        <row r="53">
          <cell r="B53" t="str">
            <v>Cooper Kupp</v>
          </cell>
          <cell r="C53" t="str">
            <v>WR31</v>
          </cell>
          <cell r="D53">
            <v>8</v>
          </cell>
          <cell r="E53">
            <v>141.02222936465665</v>
          </cell>
        </row>
        <row r="54">
          <cell r="B54" t="str">
            <v>DJ Moore</v>
          </cell>
          <cell r="C54" t="str">
            <v>WR32</v>
          </cell>
          <cell r="D54">
            <v>5</v>
          </cell>
          <cell r="E54">
            <v>140.36928909744367</v>
          </cell>
        </row>
        <row r="55">
          <cell r="B55" t="str">
            <v>Brock Bowers</v>
          </cell>
          <cell r="C55" t="str">
            <v>TE1</v>
          </cell>
          <cell r="D55">
            <v>8</v>
          </cell>
          <cell r="E55">
            <v>158.774344537536</v>
          </cell>
        </row>
        <row r="56">
          <cell r="B56" t="str">
            <v>D'Andre Swift</v>
          </cell>
          <cell r="C56" t="str">
            <v>RB21</v>
          </cell>
          <cell r="D56">
            <v>5</v>
          </cell>
          <cell r="E56">
            <v>170.75220954674938</v>
          </cell>
        </row>
        <row r="57">
          <cell r="B57" t="str">
            <v>George Kittle</v>
          </cell>
          <cell r="C57" t="str">
            <v>TE2</v>
          </cell>
          <cell r="D57">
            <v>14</v>
          </cell>
          <cell r="E57">
            <v>158.46900247862209</v>
          </cell>
        </row>
        <row r="58">
          <cell r="B58" t="str">
            <v>Jerry Jeudy</v>
          </cell>
          <cell r="C58" t="str">
            <v>WR33</v>
          </cell>
          <cell r="D58">
            <v>9</v>
          </cell>
          <cell r="E58">
            <v>139.00453699439998</v>
          </cell>
        </row>
        <row r="59">
          <cell r="B59" t="str">
            <v>Matthew Golden</v>
          </cell>
          <cell r="C59" t="str">
            <v>WR34</v>
          </cell>
          <cell r="D59">
            <v>5</v>
          </cell>
          <cell r="E59">
            <v>137.77236769291522</v>
          </cell>
        </row>
        <row r="60">
          <cell r="B60" t="str">
            <v>Jakobi Meyers</v>
          </cell>
          <cell r="C60" t="str">
            <v>WR35</v>
          </cell>
          <cell r="D60">
            <v>8</v>
          </cell>
          <cell r="E60">
            <v>137.59768717269122</v>
          </cell>
        </row>
        <row r="61">
          <cell r="B61" t="str">
            <v>Marvin Harrison Jr</v>
          </cell>
          <cell r="C61" t="str">
            <v>WR36</v>
          </cell>
          <cell r="D61">
            <v>8</v>
          </cell>
          <cell r="E61">
            <v>137.38002552991742</v>
          </cell>
        </row>
        <row r="62">
          <cell r="B62" t="str">
            <v>Josh Allen</v>
          </cell>
          <cell r="C62" t="str">
            <v>QB2</v>
          </cell>
          <cell r="D62">
            <v>7</v>
          </cell>
          <cell r="E62">
            <v>370.47444984937704</v>
          </cell>
        </row>
        <row r="63">
          <cell r="B63" t="str">
            <v>Jayden Daniels</v>
          </cell>
          <cell r="C63" t="str">
            <v>QB3</v>
          </cell>
          <cell r="D63">
            <v>12</v>
          </cell>
          <cell r="E63">
            <v>368.27823482139502</v>
          </cell>
        </row>
        <row r="64">
          <cell r="B64" t="str">
            <v>Aaron Jones</v>
          </cell>
          <cell r="C64" t="str">
            <v>RB22</v>
          </cell>
          <cell r="D64">
            <v>6</v>
          </cell>
          <cell r="E64">
            <v>163.15079525603034</v>
          </cell>
        </row>
        <row r="65">
          <cell r="B65" t="str">
            <v>Zay Flowers</v>
          </cell>
          <cell r="C65" t="str">
            <v>WR37</v>
          </cell>
          <cell r="D65">
            <v>7</v>
          </cell>
          <cell r="E65">
            <v>132.69754117105123</v>
          </cell>
        </row>
        <row r="66">
          <cell r="B66" t="str">
            <v>Travis Hunter</v>
          </cell>
          <cell r="C66" t="str">
            <v>WR38</v>
          </cell>
          <cell r="D66">
            <v>8</v>
          </cell>
          <cell r="E66">
            <v>132.04394287314994</v>
          </cell>
        </row>
        <row r="67">
          <cell r="B67" t="str">
            <v>Tony Pollard</v>
          </cell>
          <cell r="C67" t="str">
            <v>RB23</v>
          </cell>
          <cell r="D67">
            <v>10</v>
          </cell>
          <cell r="E67">
            <v>159.82517333706281</v>
          </cell>
        </row>
        <row r="68">
          <cell r="B68" t="str">
            <v>Breece Hall</v>
          </cell>
          <cell r="C68" t="str">
            <v>RB24</v>
          </cell>
          <cell r="D68">
            <v>9</v>
          </cell>
          <cell r="E68">
            <v>159.2181482060528</v>
          </cell>
        </row>
        <row r="69">
          <cell r="B69" t="str">
            <v>RJ Harvey</v>
          </cell>
          <cell r="C69" t="str">
            <v>RB25</v>
          </cell>
          <cell r="D69">
            <v>12</v>
          </cell>
          <cell r="E69">
            <v>158.73123157707198</v>
          </cell>
        </row>
        <row r="70">
          <cell r="B70" t="str">
            <v>David Montgomery</v>
          </cell>
          <cell r="C70" t="str">
            <v>RB26</v>
          </cell>
          <cell r="D70">
            <v>8</v>
          </cell>
          <cell r="E70">
            <v>157.29001789845023</v>
          </cell>
        </row>
        <row r="71">
          <cell r="B71" t="str">
            <v>Jalen Hurts</v>
          </cell>
          <cell r="C71" t="str">
            <v>QB4</v>
          </cell>
          <cell r="D71">
            <v>9</v>
          </cell>
          <cell r="E71">
            <v>361.81824306837785</v>
          </cell>
        </row>
        <row r="72">
          <cell r="B72" t="str">
            <v>Jayden Higgins</v>
          </cell>
          <cell r="C72" t="str">
            <v>WR39</v>
          </cell>
          <cell r="D72">
            <v>6</v>
          </cell>
          <cell r="E72">
            <v>126.60129561311231</v>
          </cell>
        </row>
        <row r="73">
          <cell r="B73" t="str">
            <v>Darnell Mooney</v>
          </cell>
          <cell r="C73" t="str">
            <v>WR40</v>
          </cell>
          <cell r="D73">
            <v>5</v>
          </cell>
          <cell r="E73">
            <v>126.33654879280513</v>
          </cell>
        </row>
        <row r="74">
          <cell r="B74" t="str">
            <v>Chris Olave</v>
          </cell>
          <cell r="C74" t="str">
            <v>WR41</v>
          </cell>
          <cell r="D74">
            <v>11</v>
          </cell>
          <cell r="E74">
            <v>125.559417878685</v>
          </cell>
        </row>
        <row r="75">
          <cell r="B75" t="str">
            <v>Trey McBride</v>
          </cell>
          <cell r="C75" t="str">
            <v>TE3</v>
          </cell>
          <cell r="D75">
            <v>8</v>
          </cell>
          <cell r="E75">
            <v>143.75024731306135</v>
          </cell>
        </row>
        <row r="76">
          <cell r="B76" t="str">
            <v>Javonte Williams</v>
          </cell>
          <cell r="C76" t="str">
            <v>RB27</v>
          </cell>
          <cell r="D76">
            <v>10</v>
          </cell>
          <cell r="E76">
            <v>150.82900337876475</v>
          </cell>
        </row>
        <row r="77">
          <cell r="B77" t="str">
            <v>Deebo Samuel</v>
          </cell>
          <cell r="C77" t="str">
            <v>WR42</v>
          </cell>
          <cell r="D77">
            <v>12</v>
          </cell>
          <cell r="E77">
            <v>123.26224885202956</v>
          </cell>
        </row>
        <row r="78">
          <cell r="B78" t="str">
            <v>Tyrone Tracy</v>
          </cell>
          <cell r="C78" t="str">
            <v>RB28</v>
          </cell>
          <cell r="D78">
            <v>14</v>
          </cell>
          <cell r="E78">
            <v>149.68717404001802</v>
          </cell>
        </row>
        <row r="79">
          <cell r="B79" t="str">
            <v>Jaylen Warren</v>
          </cell>
          <cell r="C79" t="str">
            <v>RB29</v>
          </cell>
          <cell r="D79">
            <v>5</v>
          </cell>
          <cell r="E79">
            <v>149.68130019192</v>
          </cell>
        </row>
        <row r="80">
          <cell r="B80" t="str">
            <v>Marvin Mims Jr</v>
          </cell>
          <cell r="C80" t="str">
            <v>WR43</v>
          </cell>
          <cell r="D80">
            <v>12</v>
          </cell>
          <cell r="E80">
            <v>121.44985042008001</v>
          </cell>
        </row>
        <row r="81">
          <cell r="B81" t="str">
            <v>Jauan Jennings</v>
          </cell>
          <cell r="C81" t="str">
            <v>WR44</v>
          </cell>
          <cell r="D81">
            <v>14</v>
          </cell>
          <cell r="E81">
            <v>121.11765451787232</v>
          </cell>
        </row>
        <row r="82">
          <cell r="B82" t="str">
            <v>Jacory Croskey-Merritt</v>
          </cell>
          <cell r="C82" t="str">
            <v>RB30</v>
          </cell>
          <cell r="D82">
            <v>12</v>
          </cell>
          <cell r="E82">
            <v>147.3580705224891</v>
          </cell>
        </row>
        <row r="83">
          <cell r="B83" t="str">
            <v>Travis Kelce</v>
          </cell>
          <cell r="C83" t="str">
            <v>TE4</v>
          </cell>
          <cell r="D83">
            <v>10</v>
          </cell>
          <cell r="E83">
            <v>136.684867337529</v>
          </cell>
        </row>
        <row r="84">
          <cell r="B84" t="str">
            <v>Chris Godwin</v>
          </cell>
          <cell r="C84" t="str">
            <v>WR45</v>
          </cell>
          <cell r="D84">
            <v>9</v>
          </cell>
          <cell r="E84">
            <v>117.05691805777538</v>
          </cell>
        </row>
        <row r="85">
          <cell r="B85" t="str">
            <v>Jayden Reed</v>
          </cell>
          <cell r="C85" t="str">
            <v>WR46</v>
          </cell>
          <cell r="D85">
            <v>5</v>
          </cell>
          <cell r="E85">
            <v>116.85798932601341</v>
          </cell>
        </row>
        <row r="86">
          <cell r="B86" t="str">
            <v>Joshua Palmer</v>
          </cell>
          <cell r="C86" t="str">
            <v>WR47</v>
          </cell>
          <cell r="D86">
            <v>7</v>
          </cell>
          <cell r="E86">
            <v>115.54130605608472</v>
          </cell>
        </row>
        <row r="87">
          <cell r="B87" t="str">
            <v>Kaleb Johnson</v>
          </cell>
          <cell r="C87" t="str">
            <v>RB31</v>
          </cell>
          <cell r="D87">
            <v>5</v>
          </cell>
          <cell r="E87">
            <v>140.537279951145</v>
          </cell>
        </row>
        <row r="88">
          <cell r="B88" t="str">
            <v>JK Dobbins</v>
          </cell>
          <cell r="C88" t="str">
            <v>RB32</v>
          </cell>
          <cell r="D88">
            <v>12</v>
          </cell>
          <cell r="E88">
            <v>140.34320972671998</v>
          </cell>
        </row>
        <row r="89">
          <cell r="B89" t="str">
            <v>Keon Coleman</v>
          </cell>
          <cell r="C89" t="str">
            <v>WR48</v>
          </cell>
          <cell r="D89">
            <v>7</v>
          </cell>
          <cell r="E89">
            <v>114.12028989366993</v>
          </cell>
        </row>
        <row r="90">
          <cell r="B90" t="str">
            <v>Rashid Shaheed</v>
          </cell>
          <cell r="C90" t="str">
            <v>WR49</v>
          </cell>
          <cell r="D90">
            <v>11</v>
          </cell>
          <cell r="E90">
            <v>113.79609564088639</v>
          </cell>
        </row>
        <row r="91">
          <cell r="B91" t="str">
            <v>Josh Downs</v>
          </cell>
          <cell r="C91" t="str">
            <v>WR50</v>
          </cell>
          <cell r="D91">
            <v>11</v>
          </cell>
          <cell r="E91">
            <v>113.10592917016511</v>
          </cell>
        </row>
        <row r="92">
          <cell r="B92" t="str">
            <v>Cedric Tillman</v>
          </cell>
          <cell r="C92" t="str">
            <v>WR51</v>
          </cell>
          <cell r="D92">
            <v>9</v>
          </cell>
          <cell r="E92">
            <v>112.95370908360002</v>
          </cell>
        </row>
        <row r="93">
          <cell r="B93" t="str">
            <v>Khalil Shakir</v>
          </cell>
          <cell r="C93" t="str">
            <v>WR52</v>
          </cell>
          <cell r="D93">
            <v>7</v>
          </cell>
          <cell r="E93">
            <v>112.32978229040118</v>
          </cell>
        </row>
        <row r="94">
          <cell r="B94" t="str">
            <v>Rashee Rice</v>
          </cell>
          <cell r="C94" t="str">
            <v>WR53</v>
          </cell>
          <cell r="D94">
            <v>10</v>
          </cell>
          <cell r="E94">
            <v>111.81584237550175</v>
          </cell>
        </row>
        <row r="95">
          <cell r="B95" t="str">
            <v>Ollie Gordon II</v>
          </cell>
          <cell r="C95" t="str">
            <v>RB33</v>
          </cell>
          <cell r="D95">
            <v>12</v>
          </cell>
          <cell r="E95">
            <v>135.94574161472838</v>
          </cell>
        </row>
        <row r="96">
          <cell r="B96" t="str">
            <v>Xavier Legette</v>
          </cell>
          <cell r="C96" t="str">
            <v>WR54</v>
          </cell>
          <cell r="D96">
            <v>14</v>
          </cell>
          <cell r="E96">
            <v>111.42576916075498</v>
          </cell>
        </row>
        <row r="97">
          <cell r="B97" t="str">
            <v>Travis Etienne Jr</v>
          </cell>
          <cell r="C97" t="str">
            <v>RB34</v>
          </cell>
          <cell r="D97">
            <v>8</v>
          </cell>
          <cell r="E97">
            <v>134.28594332549764</v>
          </cell>
        </row>
        <row r="98">
          <cell r="B98" t="str">
            <v>Andrei Iosivas</v>
          </cell>
          <cell r="C98" t="str">
            <v>WR55</v>
          </cell>
          <cell r="D98">
            <v>10</v>
          </cell>
          <cell r="E98">
            <v>109.26789126713462</v>
          </cell>
        </row>
        <row r="99">
          <cell r="B99" t="str">
            <v>Jordan Addison</v>
          </cell>
          <cell r="C99" t="str">
            <v>WR56</v>
          </cell>
          <cell r="D99">
            <v>6</v>
          </cell>
          <cell r="E99">
            <v>108.12854372884198</v>
          </cell>
        </row>
        <row r="100">
          <cell r="B100" t="str">
            <v>Romeo Doubs</v>
          </cell>
          <cell r="C100" t="str">
            <v>WR57</v>
          </cell>
          <cell r="D100">
            <v>5</v>
          </cell>
          <cell r="E100">
            <v>106.84443549373441</v>
          </cell>
        </row>
        <row r="101">
          <cell r="B101" t="str">
            <v>Jordan Mason</v>
          </cell>
          <cell r="C101" t="str">
            <v>RB35</v>
          </cell>
          <cell r="D101">
            <v>6</v>
          </cell>
          <cell r="E101">
            <v>128.51180304081063</v>
          </cell>
        </row>
        <row r="102">
          <cell r="B102" t="str">
            <v>Cam Skattebo</v>
          </cell>
          <cell r="C102" t="str">
            <v>RB36</v>
          </cell>
          <cell r="D102">
            <v>14</v>
          </cell>
          <cell r="E102">
            <v>126.44251225887936</v>
          </cell>
        </row>
        <row r="103">
          <cell r="B103" t="str">
            <v>Stefon Diggs</v>
          </cell>
          <cell r="C103" t="str">
            <v>WR58</v>
          </cell>
          <cell r="D103">
            <v>14</v>
          </cell>
          <cell r="E103">
            <v>102.99794636888065</v>
          </cell>
        </row>
        <row r="104">
          <cell r="B104" t="str">
            <v>Joe Burrow</v>
          </cell>
          <cell r="C104" t="str">
            <v>QB5</v>
          </cell>
          <cell r="D104">
            <v>10</v>
          </cell>
          <cell r="E104">
            <v>338.95905235772284</v>
          </cell>
        </row>
        <row r="105">
          <cell r="B105" t="str">
            <v>Michael Pittman Jr</v>
          </cell>
          <cell r="C105" t="str">
            <v>WR59</v>
          </cell>
          <cell r="D105">
            <v>11</v>
          </cell>
          <cell r="E105">
            <v>101.75509642459392</v>
          </cell>
        </row>
        <row r="106">
          <cell r="B106" t="str">
            <v>Christian Kirk</v>
          </cell>
          <cell r="C106" t="str">
            <v>WR60</v>
          </cell>
          <cell r="D106">
            <v>6</v>
          </cell>
          <cell r="E106">
            <v>101.52407732794218</v>
          </cell>
        </row>
        <row r="107">
          <cell r="B107" t="str">
            <v>Austin Ekeler</v>
          </cell>
          <cell r="C107" t="str">
            <v>RB37</v>
          </cell>
          <cell r="D107">
            <v>12</v>
          </cell>
          <cell r="E107">
            <v>121.66848879254404</v>
          </cell>
        </row>
        <row r="108">
          <cell r="B108" t="str">
            <v>Josh Reynolds</v>
          </cell>
          <cell r="C108" t="str">
            <v>WR61</v>
          </cell>
          <cell r="D108">
            <v>9</v>
          </cell>
          <cell r="E108">
            <v>98.590504487678288</v>
          </cell>
        </row>
        <row r="109">
          <cell r="B109" t="str">
            <v>Dylan Sampson</v>
          </cell>
          <cell r="C109" t="str">
            <v>RB38</v>
          </cell>
          <cell r="D109">
            <v>9</v>
          </cell>
          <cell r="E109">
            <v>119.69207812800003</v>
          </cell>
        </row>
        <row r="110">
          <cell r="B110" t="str">
            <v>Mark Andrews</v>
          </cell>
          <cell r="C110" t="str">
            <v>TE5</v>
          </cell>
          <cell r="D110">
            <v>7</v>
          </cell>
          <cell r="E110">
            <v>117.75190569155427</v>
          </cell>
        </row>
        <row r="111">
          <cell r="B111" t="str">
            <v>Roman Wilson</v>
          </cell>
          <cell r="C111" t="str">
            <v>WR62</v>
          </cell>
          <cell r="D111">
            <v>5</v>
          </cell>
          <cell r="E111">
            <v>96.701202758160008</v>
          </cell>
        </row>
        <row r="112">
          <cell r="B112" t="str">
            <v>Zach Charbonnet</v>
          </cell>
          <cell r="C112" t="str">
            <v>RB39</v>
          </cell>
          <cell r="D112">
            <v>8</v>
          </cell>
          <cell r="E112">
            <v>117.02714075852801</v>
          </cell>
        </row>
        <row r="113">
          <cell r="B113" t="str">
            <v>Nick Chubb</v>
          </cell>
          <cell r="C113" t="str">
            <v>RB40</v>
          </cell>
          <cell r="D113">
            <v>6</v>
          </cell>
          <cell r="E113">
            <v>116.53108146696746</v>
          </cell>
        </row>
        <row r="114">
          <cell r="B114" t="str">
            <v>Justin Fields</v>
          </cell>
          <cell r="C114" t="str">
            <v>QB6</v>
          </cell>
          <cell r="D114">
            <v>9</v>
          </cell>
          <cell r="E114">
            <v>333.85194577125975</v>
          </cell>
        </row>
        <row r="115">
          <cell r="B115" t="str">
            <v>Keenan Allen</v>
          </cell>
          <cell r="C115" t="str">
            <v>WR63</v>
          </cell>
          <cell r="D115">
            <v>12</v>
          </cell>
          <cell r="E115">
            <v>94.377928412123993</v>
          </cell>
        </row>
        <row r="116">
          <cell r="B116" t="str">
            <v>David Njoku</v>
          </cell>
          <cell r="C116" t="str">
            <v>TE6</v>
          </cell>
          <cell r="D116">
            <v>9</v>
          </cell>
          <cell r="E116">
            <v>112.97946573564002</v>
          </cell>
        </row>
        <row r="117">
          <cell r="B117" t="str">
            <v>Quinshon Judkins</v>
          </cell>
          <cell r="C117" t="str">
            <v>RB41</v>
          </cell>
          <cell r="D117">
            <v>9</v>
          </cell>
          <cell r="E117">
            <v>113.52651798599999</v>
          </cell>
        </row>
        <row r="118">
          <cell r="B118" t="str">
            <v>Tyler Lockett</v>
          </cell>
          <cell r="C118" t="str">
            <v>WR64</v>
          </cell>
          <cell r="D118">
            <v>10</v>
          </cell>
          <cell r="E118">
            <v>93.587705297855976</v>
          </cell>
        </row>
        <row r="119">
          <cell r="B119" t="str">
            <v>DeMario Douglas</v>
          </cell>
          <cell r="C119" t="str">
            <v>WR65</v>
          </cell>
          <cell r="D119">
            <v>14</v>
          </cell>
          <cell r="E119">
            <v>92.108576545171189</v>
          </cell>
        </row>
        <row r="120">
          <cell r="B120" t="str">
            <v>Sam LaPorta</v>
          </cell>
          <cell r="C120" t="str">
            <v>TE7</v>
          </cell>
          <cell r="D120">
            <v>8</v>
          </cell>
          <cell r="E120">
            <v>110.69907664956501</v>
          </cell>
        </row>
        <row r="121">
          <cell r="B121" t="str">
            <v>Baker Mayfield</v>
          </cell>
          <cell r="C121" t="str">
            <v>QB7</v>
          </cell>
          <cell r="D121">
            <v>9</v>
          </cell>
          <cell r="E121">
            <v>332.28434770840778</v>
          </cell>
        </row>
        <row r="122">
          <cell r="B122" t="str">
            <v>Amari Cooper</v>
          </cell>
          <cell r="C122" t="str">
            <v>WR66</v>
          </cell>
          <cell r="D122">
            <v>8</v>
          </cell>
          <cell r="E122">
            <v>90.286058093212802</v>
          </cell>
        </row>
        <row r="123">
          <cell r="B123" t="str">
            <v>Jaydon Blue</v>
          </cell>
          <cell r="C123" t="str">
            <v>RB42</v>
          </cell>
          <cell r="D123">
            <v>10</v>
          </cell>
          <cell r="E123">
            <v>108.29212190897837</v>
          </cell>
        </row>
        <row r="124">
          <cell r="B124" t="str">
            <v>Tory Horton</v>
          </cell>
          <cell r="C124" t="str">
            <v>WR67</v>
          </cell>
          <cell r="D124">
            <v>8</v>
          </cell>
          <cell r="E124">
            <v>88.608164347422715</v>
          </cell>
        </row>
        <row r="125">
          <cell r="B125" t="str">
            <v>Jake Ferguson</v>
          </cell>
          <cell r="C125" t="str">
            <v>TE8</v>
          </cell>
          <cell r="D125">
            <v>10</v>
          </cell>
          <cell r="E125">
            <v>107.50254519906275</v>
          </cell>
        </row>
        <row r="126">
          <cell r="B126" t="str">
            <v>Wan'Dale Robinson</v>
          </cell>
          <cell r="C126" t="str">
            <v>WR68</v>
          </cell>
          <cell r="D126">
            <v>14</v>
          </cell>
          <cell r="E126">
            <v>86.807077584470989</v>
          </cell>
        </row>
        <row r="127">
          <cell r="B127" t="str">
            <v>Rashod Bateman</v>
          </cell>
          <cell r="C127" t="str">
            <v>WR69</v>
          </cell>
          <cell r="D127">
            <v>7</v>
          </cell>
          <cell r="E127">
            <v>86.647882270549559</v>
          </cell>
        </row>
        <row r="128">
          <cell r="B128" t="str">
            <v>Tucker Kraft</v>
          </cell>
          <cell r="C128" t="str">
            <v>TE9</v>
          </cell>
          <cell r="D128">
            <v>5</v>
          </cell>
          <cell r="E128">
            <v>105.47301326284801</v>
          </cell>
        </row>
        <row r="129">
          <cell r="B129" t="str">
            <v>Kyle Pitts</v>
          </cell>
          <cell r="C129" t="str">
            <v>TE10</v>
          </cell>
          <cell r="D129">
            <v>5</v>
          </cell>
          <cell r="E129">
            <v>104.78161229437441</v>
          </cell>
        </row>
        <row r="130">
          <cell r="B130" t="str">
            <v>Rhamondre Stevenson</v>
          </cell>
          <cell r="C130" t="str">
            <v>RB43</v>
          </cell>
          <cell r="D130">
            <v>14</v>
          </cell>
          <cell r="E130">
            <v>99.342736993040035</v>
          </cell>
        </row>
        <row r="131">
          <cell r="B131" t="str">
            <v>Jalen Coker</v>
          </cell>
          <cell r="C131" t="str">
            <v>WR70</v>
          </cell>
          <cell r="D131">
            <v>14</v>
          </cell>
          <cell r="E131">
            <v>81.862209698268998</v>
          </cell>
        </row>
        <row r="132">
          <cell r="B132" t="str">
            <v>Hunter Henry</v>
          </cell>
          <cell r="C132" t="str">
            <v>TE11</v>
          </cell>
          <cell r="D132">
            <v>14</v>
          </cell>
          <cell r="E132">
            <v>101.06897698332288</v>
          </cell>
        </row>
        <row r="133">
          <cell r="B133" t="str">
            <v>Elic Ayomanor</v>
          </cell>
          <cell r="C133" t="str">
            <v>WR71</v>
          </cell>
          <cell r="D133">
            <v>10</v>
          </cell>
          <cell r="E133">
            <v>81.064464862550395</v>
          </cell>
        </row>
        <row r="134">
          <cell r="B134" t="str">
            <v>Alec Pierce</v>
          </cell>
          <cell r="C134" t="str">
            <v>WR72</v>
          </cell>
          <cell r="D134">
            <v>11</v>
          </cell>
          <cell r="E134">
            <v>80.844833574220786</v>
          </cell>
        </row>
        <row r="135">
          <cell r="B135" t="str">
            <v>Tyjae Spears</v>
          </cell>
          <cell r="C135" t="str">
            <v>RB44</v>
          </cell>
          <cell r="D135">
            <v>10</v>
          </cell>
          <cell r="E135">
            <v>95.524517494022405</v>
          </cell>
        </row>
        <row r="136">
          <cell r="B136" t="str">
            <v>Dyami Brown</v>
          </cell>
          <cell r="C136" t="str">
            <v>WR73</v>
          </cell>
          <cell r="D136">
            <v>8</v>
          </cell>
          <cell r="E136">
            <v>79.191706742579186</v>
          </cell>
        </row>
        <row r="137">
          <cell r="B137" t="str">
            <v>Evan Engram</v>
          </cell>
          <cell r="C137" t="str">
            <v>TE12</v>
          </cell>
          <cell r="D137">
            <v>12</v>
          </cell>
          <cell r="E137">
            <v>98.498518191360006</v>
          </cell>
        </row>
        <row r="138">
          <cell r="B138" t="str">
            <v>Tre Harris</v>
          </cell>
          <cell r="C138" t="str">
            <v>WR74</v>
          </cell>
          <cell r="D138">
            <v>12</v>
          </cell>
          <cell r="E138">
            <v>79.111847038223999</v>
          </cell>
        </row>
        <row r="139">
          <cell r="B139" t="str">
            <v>Patrick Mahomes</v>
          </cell>
          <cell r="C139" t="str">
            <v>QB8</v>
          </cell>
          <cell r="D139">
            <v>10</v>
          </cell>
          <cell r="E139">
            <v>322.17403798902967</v>
          </cell>
        </row>
        <row r="140">
          <cell r="B140" t="str">
            <v>TJ Hockenson</v>
          </cell>
          <cell r="C140" t="str">
            <v>TE13</v>
          </cell>
          <cell r="D140">
            <v>6</v>
          </cell>
          <cell r="E140">
            <v>97.097011774963164</v>
          </cell>
        </row>
        <row r="141">
          <cell r="B141" t="str">
            <v>DeAndre Hopkins</v>
          </cell>
          <cell r="C141" t="str">
            <v>WR75</v>
          </cell>
          <cell r="D141">
            <v>7</v>
          </cell>
          <cell r="E141">
            <v>77.490992309955828</v>
          </cell>
        </row>
        <row r="142">
          <cell r="B142" t="str">
            <v>Luther Burden III</v>
          </cell>
          <cell r="C142" t="str">
            <v>WR76</v>
          </cell>
          <cell r="D142">
            <v>5</v>
          </cell>
          <cell r="E142">
            <v>77.441837074106388</v>
          </cell>
        </row>
        <row r="143">
          <cell r="B143" t="str">
            <v>Ray Davis</v>
          </cell>
          <cell r="C143" t="str">
            <v>RB45</v>
          </cell>
          <cell r="D143">
            <v>7</v>
          </cell>
          <cell r="E143">
            <v>92.868697832326447</v>
          </cell>
        </row>
        <row r="144">
          <cell r="B144" t="str">
            <v>Zay Jones</v>
          </cell>
          <cell r="C144" t="str">
            <v>WR77</v>
          </cell>
          <cell r="D144">
            <v>8</v>
          </cell>
          <cell r="E144">
            <v>76.450372283430184</v>
          </cell>
        </row>
        <row r="145">
          <cell r="B145" t="str">
            <v>Darius Slayton</v>
          </cell>
          <cell r="C145" t="str">
            <v>WR78</v>
          </cell>
          <cell r="D145">
            <v>14</v>
          </cell>
          <cell r="E145">
            <v>75.347522861803924</v>
          </cell>
        </row>
        <row r="146">
          <cell r="B146" t="str">
            <v>Brandon Aiyuk</v>
          </cell>
          <cell r="C146" t="str">
            <v>WR79</v>
          </cell>
          <cell r="D146">
            <v>14</v>
          </cell>
          <cell r="E146">
            <v>74.425926987609103</v>
          </cell>
        </row>
        <row r="147">
          <cell r="B147" t="str">
            <v>Najee Harris</v>
          </cell>
          <cell r="C147" t="str">
            <v>RB46</v>
          </cell>
          <cell r="D147">
            <v>12</v>
          </cell>
          <cell r="E147">
            <v>89.088185456670388</v>
          </cell>
        </row>
        <row r="148">
          <cell r="B148" t="str">
            <v>Mason Taylor</v>
          </cell>
          <cell r="C148" t="str">
            <v>TE14</v>
          </cell>
          <cell r="D148">
            <v>9</v>
          </cell>
          <cell r="E148">
            <v>93.055947970414664</v>
          </cell>
        </row>
        <row r="149">
          <cell r="B149" t="str">
            <v>Tank Bigsby</v>
          </cell>
          <cell r="C149" t="str">
            <v>RB47</v>
          </cell>
          <cell r="D149">
            <v>8</v>
          </cell>
          <cell r="E149">
            <v>87.891310481071898</v>
          </cell>
        </row>
        <row r="150">
          <cell r="B150" t="str">
            <v>Quentin Johnston</v>
          </cell>
          <cell r="C150" t="str">
            <v>WR80</v>
          </cell>
          <cell r="D150">
            <v>12</v>
          </cell>
          <cell r="E150">
            <v>73.000890056494399</v>
          </cell>
        </row>
        <row r="151">
          <cell r="B151" t="str">
            <v>Trey Benson</v>
          </cell>
          <cell r="C151" t="str">
            <v>RB48</v>
          </cell>
          <cell r="D151">
            <v>8</v>
          </cell>
          <cell r="E151">
            <v>87.12276081534236</v>
          </cell>
        </row>
        <row r="152">
          <cell r="B152" t="str">
            <v>Dalton Kincaid</v>
          </cell>
          <cell r="C152" t="str">
            <v>TE15</v>
          </cell>
          <cell r="D152">
            <v>7</v>
          </cell>
          <cell r="E152">
            <v>91.687316176523751</v>
          </cell>
        </row>
        <row r="153">
          <cell r="B153" t="str">
            <v>Tyler Allgeier</v>
          </cell>
          <cell r="C153" t="str">
            <v>RB49</v>
          </cell>
          <cell r="D153">
            <v>5</v>
          </cell>
          <cell r="E153">
            <v>86.678849503921313</v>
          </cell>
        </row>
        <row r="154">
          <cell r="B154" t="str">
            <v>Kendre Miller</v>
          </cell>
          <cell r="C154" t="str">
            <v>RB50</v>
          </cell>
          <cell r="D154">
            <v>11</v>
          </cell>
          <cell r="E154">
            <v>85.756225278500011</v>
          </cell>
        </row>
        <row r="155">
          <cell r="B155" t="str">
            <v>Tyler Warren</v>
          </cell>
          <cell r="C155" t="str">
            <v>TE16</v>
          </cell>
          <cell r="D155">
            <v>11</v>
          </cell>
          <cell r="E155">
            <v>89.027619652419844</v>
          </cell>
        </row>
        <row r="156">
          <cell r="B156" t="str">
            <v>Arian Smith</v>
          </cell>
          <cell r="C156" t="str">
            <v>WR81</v>
          </cell>
          <cell r="D156">
            <v>9</v>
          </cell>
          <cell r="E156">
            <v>68.69009031075818</v>
          </cell>
        </row>
        <row r="157">
          <cell r="B157" t="str">
            <v>Caleb Williams</v>
          </cell>
          <cell r="C157" t="str">
            <v>QB9</v>
          </cell>
          <cell r="D157">
            <v>5</v>
          </cell>
          <cell r="E157">
            <v>313.3672233874517</v>
          </cell>
        </row>
        <row r="158">
          <cell r="B158" t="str">
            <v>Brenton Strange</v>
          </cell>
          <cell r="C158" t="str">
            <v>TE17</v>
          </cell>
          <cell r="D158">
            <v>8</v>
          </cell>
          <cell r="E158">
            <v>87.670204394572778</v>
          </cell>
        </row>
        <row r="159">
          <cell r="B159" t="str">
            <v>Rachaad White</v>
          </cell>
          <cell r="C159" t="str">
            <v>RB51</v>
          </cell>
          <cell r="D159">
            <v>9</v>
          </cell>
          <cell r="E159">
            <v>80.764921886959158</v>
          </cell>
        </row>
        <row r="160">
          <cell r="B160" t="str">
            <v>Isaiah Likely</v>
          </cell>
          <cell r="C160" t="str">
            <v>TE18</v>
          </cell>
          <cell r="D160">
            <v>7</v>
          </cell>
          <cell r="E160">
            <v>85.952938501734522</v>
          </cell>
        </row>
        <row r="161">
          <cell r="B161" t="str">
            <v>Jerome Ford</v>
          </cell>
          <cell r="C161" t="str">
            <v>RB52</v>
          </cell>
          <cell r="D161">
            <v>9</v>
          </cell>
          <cell r="E161">
            <v>78.66234396625498</v>
          </cell>
        </row>
        <row r="162">
          <cell r="B162" t="str">
            <v>Isaac TeSlaa</v>
          </cell>
          <cell r="C162" t="str">
            <v>WR82</v>
          </cell>
          <cell r="D162">
            <v>8</v>
          </cell>
          <cell r="E162">
            <v>65.240771930880001</v>
          </cell>
        </row>
        <row r="163">
          <cell r="B163" t="str">
            <v>Braelon Allen</v>
          </cell>
          <cell r="C163" t="str">
            <v>RB53</v>
          </cell>
          <cell r="D163">
            <v>9</v>
          </cell>
          <cell r="E163">
            <v>78.073232172303605</v>
          </cell>
        </row>
        <row r="164">
          <cell r="B164" t="str">
            <v>Darren Waller</v>
          </cell>
          <cell r="C164" t="str">
            <v>TE19</v>
          </cell>
          <cell r="D164">
            <v>12</v>
          </cell>
          <cell r="E164">
            <v>84.323520202521593</v>
          </cell>
        </row>
        <row r="165">
          <cell r="B165" t="str">
            <v>Rico Dowdle</v>
          </cell>
          <cell r="C165" t="str">
            <v>RB54</v>
          </cell>
          <cell r="D165">
            <v>14</v>
          </cell>
          <cell r="E165">
            <v>77.794485619200373</v>
          </cell>
        </row>
        <row r="166">
          <cell r="B166" t="str">
            <v>Joe Mixon</v>
          </cell>
          <cell r="C166" t="str">
            <v>RB55</v>
          </cell>
          <cell r="D166">
            <v>6</v>
          </cell>
          <cell r="E166">
            <v>77.661553864068736</v>
          </cell>
        </row>
        <row r="167">
          <cell r="B167" t="str">
            <v>Ja'Tavion Sanders</v>
          </cell>
          <cell r="C167" t="str">
            <v>TE20</v>
          </cell>
          <cell r="D167">
            <v>14</v>
          </cell>
          <cell r="E167">
            <v>83.03560564422898</v>
          </cell>
        </row>
        <row r="168">
          <cell r="B168" t="str">
            <v>Brian Robinson</v>
          </cell>
          <cell r="C168" t="str">
            <v>RB56</v>
          </cell>
          <cell r="D168">
            <v>14</v>
          </cell>
          <cell r="E168">
            <v>74.607040563371285</v>
          </cell>
        </row>
        <row r="169">
          <cell r="B169" t="str">
            <v>Tutu Atwell</v>
          </cell>
          <cell r="C169" t="str">
            <v>WR83</v>
          </cell>
          <cell r="D169">
            <v>8</v>
          </cell>
          <cell r="E169">
            <v>61.710234219393186</v>
          </cell>
        </row>
        <row r="170">
          <cell r="B170" t="str">
            <v>Kyle Monangai</v>
          </cell>
          <cell r="C170" t="str">
            <v>RB57</v>
          </cell>
          <cell r="D170">
            <v>5</v>
          </cell>
          <cell r="E170">
            <v>70.415688484687749</v>
          </cell>
        </row>
        <row r="171">
          <cell r="B171" t="str">
            <v>Brock Purdy</v>
          </cell>
          <cell r="C171" t="str">
            <v>QB10</v>
          </cell>
          <cell r="D171">
            <v>14</v>
          </cell>
          <cell r="E171">
            <v>307.63939247855097</v>
          </cell>
        </row>
        <row r="172">
          <cell r="B172" t="str">
            <v>Brashard Smith</v>
          </cell>
          <cell r="C172" t="str">
            <v>RB58</v>
          </cell>
          <cell r="D172">
            <v>10</v>
          </cell>
          <cell r="E172">
            <v>69.757224374039993</v>
          </cell>
        </row>
        <row r="173">
          <cell r="B173" t="str">
            <v>Dallas Goedert</v>
          </cell>
          <cell r="C173" t="str">
            <v>TE21</v>
          </cell>
          <cell r="D173">
            <v>9</v>
          </cell>
          <cell r="E173">
            <v>77.185654931453328</v>
          </cell>
        </row>
        <row r="174">
          <cell r="B174" t="str">
            <v>Adonai Mitchell</v>
          </cell>
          <cell r="C174" t="str">
            <v>WR84</v>
          </cell>
          <cell r="D174">
            <v>11</v>
          </cell>
          <cell r="E174">
            <v>57.73534351385473</v>
          </cell>
        </row>
        <row r="175">
          <cell r="B175" t="str">
            <v>Michael Wilson</v>
          </cell>
          <cell r="C175" t="str">
            <v>WR85</v>
          </cell>
          <cell r="D175">
            <v>8</v>
          </cell>
          <cell r="E175">
            <v>56.958384964778844</v>
          </cell>
        </row>
        <row r="176">
          <cell r="B176" t="str">
            <v>Bo Nix</v>
          </cell>
          <cell r="C176" t="str">
            <v>QB11</v>
          </cell>
          <cell r="D176">
            <v>12</v>
          </cell>
          <cell r="E176">
            <v>306.64607153709284</v>
          </cell>
        </row>
        <row r="177">
          <cell r="B177" t="str">
            <v>Calvin Austin</v>
          </cell>
          <cell r="C177" t="str">
            <v>WR86</v>
          </cell>
          <cell r="D177">
            <v>5</v>
          </cell>
          <cell r="E177">
            <v>56.344708644840011</v>
          </cell>
        </row>
        <row r="178">
          <cell r="B178" t="str">
            <v>Tahj Brooks</v>
          </cell>
          <cell r="C178" t="str">
            <v>RB59</v>
          </cell>
          <cell r="D178">
            <v>10</v>
          </cell>
          <cell r="E178">
            <v>66.650166766768209</v>
          </cell>
        </row>
        <row r="179">
          <cell r="B179" t="str">
            <v>Jonnu Smith</v>
          </cell>
          <cell r="C179" t="str">
            <v>TE22</v>
          </cell>
          <cell r="D179">
            <v>5</v>
          </cell>
          <cell r="E179">
            <v>75.084634686599998</v>
          </cell>
        </row>
        <row r="180">
          <cell r="B180" t="str">
            <v>Kyler Murray</v>
          </cell>
          <cell r="C180" t="str">
            <v>QB12</v>
          </cell>
          <cell r="D180">
            <v>8</v>
          </cell>
          <cell r="E180">
            <v>305.49353011697758</v>
          </cell>
        </row>
        <row r="181">
          <cell r="B181" t="str">
            <v>Zach Ertz</v>
          </cell>
          <cell r="C181" t="str">
            <v>TE23</v>
          </cell>
          <cell r="D181">
            <v>12</v>
          </cell>
          <cell r="E181">
            <v>74.257780921571879</v>
          </cell>
        </row>
        <row r="182">
          <cell r="B182" t="str">
            <v>Theo Johnson</v>
          </cell>
          <cell r="C182" t="str">
            <v>TE24</v>
          </cell>
          <cell r="D182">
            <v>14</v>
          </cell>
          <cell r="E182">
            <v>73.700778786465605</v>
          </cell>
        </row>
        <row r="183">
          <cell r="B183" t="str">
            <v>Adam Thielen</v>
          </cell>
          <cell r="C183" t="str">
            <v>WR87</v>
          </cell>
          <cell r="D183">
            <v>6</v>
          </cell>
          <cell r="E183">
            <v>54.121441316342377</v>
          </cell>
        </row>
        <row r="184">
          <cell r="B184" t="str">
            <v>Dont'e Thornton Jr</v>
          </cell>
          <cell r="C184" t="str">
            <v>WR88</v>
          </cell>
          <cell r="D184">
            <v>8</v>
          </cell>
          <cell r="E184">
            <v>53.839806397977597</v>
          </cell>
        </row>
        <row r="185">
          <cell r="B185" t="str">
            <v>Hollywood Brown</v>
          </cell>
          <cell r="C185" t="str">
            <v>WR89</v>
          </cell>
          <cell r="D185">
            <v>10</v>
          </cell>
          <cell r="E185">
            <v>53.346335096249994</v>
          </cell>
        </row>
        <row r="186">
          <cell r="B186" t="str">
            <v>Woody Marks</v>
          </cell>
          <cell r="C186" t="str">
            <v>RB60</v>
          </cell>
          <cell r="D186">
            <v>6</v>
          </cell>
          <cell r="E186">
            <v>63.17134150201057</v>
          </cell>
        </row>
        <row r="187">
          <cell r="B187" t="str">
            <v>Dak Prescott</v>
          </cell>
          <cell r="C187" t="str">
            <v>QB13</v>
          </cell>
          <cell r="D187">
            <v>10</v>
          </cell>
          <cell r="E187">
            <v>304.28657866151991</v>
          </cell>
        </row>
        <row r="188">
          <cell r="B188" t="str">
            <v>Nick Westbrook-Ikhine</v>
          </cell>
          <cell r="C188" t="str">
            <v>WR90</v>
          </cell>
          <cell r="D188">
            <v>12</v>
          </cell>
          <cell r="E188">
            <v>52.305369011575678</v>
          </cell>
        </row>
        <row r="189">
          <cell r="B189" t="str">
            <v>Troy Franklin</v>
          </cell>
          <cell r="C189" t="str">
            <v>WR91</v>
          </cell>
          <cell r="D189">
            <v>12</v>
          </cell>
          <cell r="E189">
            <v>52.23087068281599</v>
          </cell>
        </row>
        <row r="190">
          <cell r="B190" t="str">
            <v>Juwan Johnson</v>
          </cell>
          <cell r="C190" t="str">
            <v>TE25</v>
          </cell>
          <cell r="D190">
            <v>11</v>
          </cell>
          <cell r="E190">
            <v>70.472491594623989</v>
          </cell>
        </row>
        <row r="191">
          <cell r="B191" t="str">
            <v>Will Shipley</v>
          </cell>
          <cell r="C191" t="str">
            <v>RB61</v>
          </cell>
          <cell r="D191">
            <v>9</v>
          </cell>
          <cell r="E191">
            <v>59.613620677946038</v>
          </cell>
        </row>
        <row r="192">
          <cell r="B192" t="str">
            <v>Dontayvion Wicks</v>
          </cell>
          <cell r="C192" t="str">
            <v>WR92</v>
          </cell>
          <cell r="D192">
            <v>5</v>
          </cell>
          <cell r="E192">
            <v>50.324764561343997</v>
          </cell>
        </row>
        <row r="193">
          <cell r="B193" t="str">
            <v>Dalton Schultz</v>
          </cell>
          <cell r="C193" t="str">
            <v>TE26</v>
          </cell>
          <cell r="D193">
            <v>6</v>
          </cell>
          <cell r="E193">
            <v>69.561316146241921</v>
          </cell>
        </row>
        <row r="194">
          <cell r="B194" t="str">
            <v>Kenneth Gainwell</v>
          </cell>
          <cell r="C194" t="str">
            <v>RB62</v>
          </cell>
          <cell r="D194">
            <v>5</v>
          </cell>
          <cell r="E194">
            <v>58.874380959239993</v>
          </cell>
        </row>
        <row r="195">
          <cell r="B195" t="str">
            <v>KaVontae Turpin</v>
          </cell>
          <cell r="C195" t="str">
            <v>WR93</v>
          </cell>
          <cell r="D195">
            <v>10</v>
          </cell>
          <cell r="E195">
            <v>48.886853708733454</v>
          </cell>
        </row>
        <row r="196">
          <cell r="B196" t="str">
            <v>Chris Rodriguez</v>
          </cell>
          <cell r="C196" t="str">
            <v>RB63</v>
          </cell>
          <cell r="D196">
            <v>12</v>
          </cell>
          <cell r="E196">
            <v>57.32610877727889</v>
          </cell>
        </row>
        <row r="197">
          <cell r="B197" t="str">
            <v>Ray-Ray McCloud</v>
          </cell>
          <cell r="C197" t="str">
            <v>WR94</v>
          </cell>
          <cell r="D197">
            <v>5</v>
          </cell>
          <cell r="E197">
            <v>48.389544577828055</v>
          </cell>
        </row>
        <row r="198">
          <cell r="B198" t="str">
            <v>Bhayshul Tuten</v>
          </cell>
          <cell r="C198" t="str">
            <v>RB64</v>
          </cell>
          <cell r="D198">
            <v>8</v>
          </cell>
          <cell r="E198">
            <v>56.217357866548937</v>
          </cell>
        </row>
        <row r="199">
          <cell r="B199" t="str">
            <v>Kyle Williams</v>
          </cell>
          <cell r="C199" t="str">
            <v>WR95</v>
          </cell>
          <cell r="D199">
            <v>14</v>
          </cell>
          <cell r="E199">
            <v>47.477284889932811</v>
          </cell>
        </row>
        <row r="200">
          <cell r="B200" t="str">
            <v>Tyquan Thornton</v>
          </cell>
          <cell r="C200" t="str">
            <v>WR96</v>
          </cell>
          <cell r="D200">
            <v>10</v>
          </cell>
          <cell r="E200">
            <v>46.852171357110002</v>
          </cell>
        </row>
        <row r="201">
          <cell r="B201" t="str">
            <v>Colston Loveland</v>
          </cell>
          <cell r="C201" t="str">
            <v>TE27</v>
          </cell>
          <cell r="D201">
            <v>5</v>
          </cell>
          <cell r="E201">
            <v>66.153172783426214</v>
          </cell>
        </row>
        <row r="202">
          <cell r="B202" t="str">
            <v>Chigoziem Okonkwo</v>
          </cell>
          <cell r="C202" t="str">
            <v>TE28</v>
          </cell>
          <cell r="D202">
            <v>10</v>
          </cell>
          <cell r="E202">
            <v>65.909857363257586</v>
          </cell>
        </row>
        <row r="203">
          <cell r="B203" t="str">
            <v>Trevor Lawrence</v>
          </cell>
          <cell r="C203" t="str">
            <v>QB14</v>
          </cell>
          <cell r="D203">
            <v>8</v>
          </cell>
          <cell r="E203">
            <v>299.63981959630308</v>
          </cell>
        </row>
        <row r="204">
          <cell r="B204" t="str">
            <v>Roschon Johnson</v>
          </cell>
          <cell r="C204" t="str">
            <v>RB65</v>
          </cell>
          <cell r="D204">
            <v>5</v>
          </cell>
          <cell r="E204">
            <v>54.55086239807914</v>
          </cell>
        </row>
        <row r="205">
          <cell r="B205" t="str">
            <v>Cade Otton</v>
          </cell>
          <cell r="C205" t="str">
            <v>TE29</v>
          </cell>
          <cell r="D205">
            <v>9</v>
          </cell>
          <cell r="E205">
            <v>65.498730682207224</v>
          </cell>
        </row>
        <row r="206">
          <cell r="B206" t="str">
            <v>Raheem Mostert</v>
          </cell>
          <cell r="C206" t="str">
            <v>RB66</v>
          </cell>
          <cell r="D206">
            <v>8</v>
          </cell>
          <cell r="E206">
            <v>54.202980077065106</v>
          </cell>
        </row>
        <row r="207">
          <cell r="B207" t="str">
            <v>DJ Giddens</v>
          </cell>
          <cell r="C207" t="str">
            <v>RB67</v>
          </cell>
          <cell r="D207">
            <v>11</v>
          </cell>
          <cell r="E207">
            <v>53.270954432767404</v>
          </cell>
        </row>
        <row r="208">
          <cell r="B208" t="str">
            <v>Olamide Zaccheaus</v>
          </cell>
          <cell r="C208" t="str">
            <v>WR97</v>
          </cell>
          <cell r="D208">
            <v>5</v>
          </cell>
          <cell r="E208">
            <v>43.157471012812792</v>
          </cell>
        </row>
        <row r="209">
          <cell r="B209" t="str">
            <v>Jaylen Wright</v>
          </cell>
          <cell r="C209" t="str">
            <v>RB68</v>
          </cell>
          <cell r="D209">
            <v>12</v>
          </cell>
          <cell r="E209">
            <v>50.222329078829077</v>
          </cell>
        </row>
        <row r="210">
          <cell r="B210" t="str">
            <v>Mack Hollins</v>
          </cell>
          <cell r="C210" t="str">
            <v>WR98</v>
          </cell>
          <cell r="D210">
            <v>14</v>
          </cell>
          <cell r="E210">
            <v>42.561298793502722</v>
          </cell>
        </row>
        <row r="211">
          <cell r="B211" t="str">
            <v>Jermaine Burton</v>
          </cell>
          <cell r="C211" t="str">
            <v>WR99</v>
          </cell>
          <cell r="D211">
            <v>10</v>
          </cell>
          <cell r="E211">
            <v>41.883981420513123</v>
          </cell>
        </row>
        <row r="212">
          <cell r="B212" t="str">
            <v>Chris Brooks</v>
          </cell>
          <cell r="C212" t="str">
            <v>RB69</v>
          </cell>
          <cell r="D212">
            <v>5</v>
          </cell>
          <cell r="E212">
            <v>48.604801838208012</v>
          </cell>
        </row>
        <row r="213">
          <cell r="B213" t="str">
            <v>Blake Corum</v>
          </cell>
          <cell r="C213" t="str">
            <v>RB70</v>
          </cell>
          <cell r="D213">
            <v>8</v>
          </cell>
          <cell r="E213">
            <v>48.312934737785298</v>
          </cell>
        </row>
        <row r="214">
          <cell r="B214" t="str">
            <v>Kareem Hunt</v>
          </cell>
          <cell r="C214" t="str">
            <v>RB71</v>
          </cell>
          <cell r="D214">
            <v>10</v>
          </cell>
          <cell r="E214">
            <v>47.822917715758507</v>
          </cell>
        </row>
        <row r="215">
          <cell r="B215" t="str">
            <v>Allen Lazard</v>
          </cell>
          <cell r="C215" t="str">
            <v>WR100</v>
          </cell>
          <cell r="D215">
            <v>9</v>
          </cell>
          <cell r="E215">
            <v>40.76279245562398</v>
          </cell>
        </row>
        <row r="216">
          <cell r="B216" t="str">
            <v>CJ Stroud</v>
          </cell>
          <cell r="C216" t="str">
            <v>QB15</v>
          </cell>
          <cell r="D216">
            <v>6</v>
          </cell>
          <cell r="E216">
            <v>295.91472454876794</v>
          </cell>
        </row>
        <row r="217">
          <cell r="B217" t="str">
            <v>Jalen Tolbert</v>
          </cell>
          <cell r="C217" t="str">
            <v>WR101</v>
          </cell>
          <cell r="D217">
            <v>10</v>
          </cell>
          <cell r="E217">
            <v>40.591557320404739</v>
          </cell>
        </row>
        <row r="218">
          <cell r="B218" t="str">
            <v>Jarquez Hunter</v>
          </cell>
          <cell r="C218" t="str">
            <v>RB72</v>
          </cell>
          <cell r="D218">
            <v>8</v>
          </cell>
          <cell r="E218">
            <v>47.15618187426999</v>
          </cell>
        </row>
        <row r="219">
          <cell r="B219" t="str">
            <v>Keaton Mitchell</v>
          </cell>
          <cell r="C219" t="str">
            <v>RB73</v>
          </cell>
          <cell r="D219">
            <v>7</v>
          </cell>
          <cell r="E219">
            <v>46.181830380441617</v>
          </cell>
        </row>
        <row r="220">
          <cell r="B220" t="str">
            <v>Devaughn Vele</v>
          </cell>
          <cell r="C220" t="str">
            <v>WR102</v>
          </cell>
          <cell r="D220">
            <v>11</v>
          </cell>
          <cell r="E220">
            <v>39.3979759297236</v>
          </cell>
        </row>
        <row r="221">
          <cell r="B221" t="str">
            <v>Greg Dortch</v>
          </cell>
          <cell r="C221" t="str">
            <v>WR103</v>
          </cell>
          <cell r="D221">
            <v>8</v>
          </cell>
          <cell r="E221">
            <v>39.376392340800528</v>
          </cell>
        </row>
        <row r="222">
          <cell r="B222" t="str">
            <v>Miles Sanders</v>
          </cell>
          <cell r="C222" t="str">
            <v>RB74</v>
          </cell>
          <cell r="D222">
            <v>10</v>
          </cell>
          <cell r="E222">
            <v>45.482844155698061</v>
          </cell>
        </row>
        <row r="223">
          <cell r="B223" t="str">
            <v>Devin Neal</v>
          </cell>
          <cell r="C223" t="str">
            <v>RB75</v>
          </cell>
          <cell r="D223">
            <v>11</v>
          </cell>
          <cell r="E223">
            <v>44.867118244678799</v>
          </cell>
        </row>
        <row r="224">
          <cell r="B224" t="str">
            <v>Jahan Dotson</v>
          </cell>
          <cell r="C224" t="str">
            <v>WR104</v>
          </cell>
          <cell r="D224">
            <v>9</v>
          </cell>
          <cell r="E224">
            <v>38.489679789667349</v>
          </cell>
        </row>
        <row r="225">
          <cell r="B225" t="str">
            <v>Isaiah Bond</v>
          </cell>
          <cell r="C225" t="str">
            <v>WR105</v>
          </cell>
          <cell r="D225">
            <v>9</v>
          </cell>
          <cell r="E225">
            <v>38.090614180185</v>
          </cell>
        </row>
        <row r="226">
          <cell r="B226" t="str">
            <v>Tre Tucker</v>
          </cell>
          <cell r="C226" t="str">
            <v>WR106</v>
          </cell>
          <cell r="D226">
            <v>8</v>
          </cell>
          <cell r="E226">
            <v>37.880109540000007</v>
          </cell>
        </row>
        <row r="227">
          <cell r="B227" t="str">
            <v>Kayshon Boutte</v>
          </cell>
          <cell r="C227" t="str">
            <v>WR107</v>
          </cell>
          <cell r="D227">
            <v>14</v>
          </cell>
          <cell r="E227">
            <v>37.496590120496634</v>
          </cell>
        </row>
        <row r="228">
          <cell r="B228" t="str">
            <v>Pat Bryant</v>
          </cell>
          <cell r="C228" t="str">
            <v>WR108</v>
          </cell>
          <cell r="D228">
            <v>12</v>
          </cell>
          <cell r="E228">
            <v>37.237540411680001</v>
          </cell>
        </row>
        <row r="229">
          <cell r="B229" t="str">
            <v>Jamari Thrash</v>
          </cell>
          <cell r="C229" t="str">
            <v>WR109</v>
          </cell>
          <cell r="D229">
            <v>9</v>
          </cell>
          <cell r="E229">
            <v>36.98231264364</v>
          </cell>
        </row>
        <row r="230">
          <cell r="B230" t="str">
            <v>Pat Freiermuth</v>
          </cell>
          <cell r="C230" t="str">
            <v>TE30</v>
          </cell>
          <cell r="D230">
            <v>5</v>
          </cell>
          <cell r="E230">
            <v>56.223957649859997</v>
          </cell>
        </row>
        <row r="231">
          <cell r="B231" t="str">
            <v>Konata Mumpfield</v>
          </cell>
          <cell r="C231" t="str">
            <v>WR110</v>
          </cell>
          <cell r="D231">
            <v>8</v>
          </cell>
          <cell r="E231">
            <v>36.765263444811005</v>
          </cell>
        </row>
        <row r="232">
          <cell r="B232" t="str">
            <v>Drake Maye</v>
          </cell>
          <cell r="C232" t="str">
            <v>QB16</v>
          </cell>
          <cell r="D232">
            <v>14</v>
          </cell>
          <cell r="E232">
            <v>292.55955247041601</v>
          </cell>
        </row>
        <row r="233">
          <cell r="B233" t="str">
            <v>Mike Gesicki</v>
          </cell>
          <cell r="C233" t="str">
            <v>TE31</v>
          </cell>
          <cell r="D233">
            <v>10</v>
          </cell>
          <cell r="E233">
            <v>53.959191317436265</v>
          </cell>
        </row>
        <row r="234">
          <cell r="B234" t="str">
            <v>Terrance Ferguson</v>
          </cell>
          <cell r="C234" t="str">
            <v>TE32</v>
          </cell>
          <cell r="D234">
            <v>8</v>
          </cell>
          <cell r="E234">
            <v>53.70266270183717</v>
          </cell>
        </row>
        <row r="235">
          <cell r="B235" t="str">
            <v>Isaac Guerendo</v>
          </cell>
          <cell r="C235" t="str">
            <v>RB76</v>
          </cell>
          <cell r="D235">
            <v>14</v>
          </cell>
          <cell r="E235">
            <v>35.070033145777543</v>
          </cell>
        </row>
        <row r="236">
          <cell r="B236" t="str">
            <v>Dameon Pierce</v>
          </cell>
          <cell r="C236" t="str">
            <v>RB77</v>
          </cell>
          <cell r="D236">
            <v>6</v>
          </cell>
          <cell r="E236">
            <v>34.410591559890001</v>
          </cell>
        </row>
        <row r="237">
          <cell r="B237" t="str">
            <v>Jared Goff</v>
          </cell>
          <cell r="C237" t="str">
            <v>QB17</v>
          </cell>
          <cell r="D237">
            <v>8</v>
          </cell>
          <cell r="E237">
            <v>289.17259219181915</v>
          </cell>
        </row>
        <row r="238">
          <cell r="B238" t="str">
            <v>Samaje Perine</v>
          </cell>
          <cell r="C238" t="str">
            <v>RB78</v>
          </cell>
          <cell r="D238">
            <v>10</v>
          </cell>
          <cell r="E238">
            <v>33.608275585435855</v>
          </cell>
        </row>
        <row r="239">
          <cell r="B239" t="str">
            <v>AJ Barner</v>
          </cell>
          <cell r="C239" t="str">
            <v>TE33</v>
          </cell>
          <cell r="D239">
            <v>8</v>
          </cell>
          <cell r="E239">
            <v>46.956839437347838</v>
          </cell>
        </row>
        <row r="240">
          <cell r="B240" t="str">
            <v>Ty Johnson</v>
          </cell>
          <cell r="C240" t="str">
            <v>RB79</v>
          </cell>
          <cell r="D240">
            <v>7</v>
          </cell>
          <cell r="E240">
            <v>30.255424603607192</v>
          </cell>
        </row>
        <row r="241">
          <cell r="B241" t="str">
            <v>Michael Mayer</v>
          </cell>
          <cell r="C241" t="str">
            <v>TE34</v>
          </cell>
          <cell r="D241">
            <v>8</v>
          </cell>
          <cell r="E241">
            <v>44.733509249804648</v>
          </cell>
        </row>
        <row r="242">
          <cell r="B242" t="str">
            <v>Geno Smith</v>
          </cell>
          <cell r="C242" t="str">
            <v>QB18</v>
          </cell>
          <cell r="D242">
            <v>8</v>
          </cell>
          <cell r="E242">
            <v>283.77656790978136</v>
          </cell>
        </row>
        <row r="243">
          <cell r="B243" t="str">
            <v>MarShawn Lloyd</v>
          </cell>
          <cell r="C243" t="str">
            <v>RB80</v>
          </cell>
          <cell r="D243">
            <v>5</v>
          </cell>
          <cell r="E243">
            <v>26.579544597065599</v>
          </cell>
        </row>
        <row r="244">
          <cell r="B244" t="str">
            <v>Sean Tucker</v>
          </cell>
          <cell r="C244" t="str">
            <v>RB81</v>
          </cell>
          <cell r="D244">
            <v>9</v>
          </cell>
          <cell r="E244">
            <v>26.487960304689583</v>
          </cell>
        </row>
        <row r="245">
          <cell r="B245" t="str">
            <v>AJ Dillon</v>
          </cell>
          <cell r="C245" t="str">
            <v>RB82</v>
          </cell>
          <cell r="D245">
            <v>9</v>
          </cell>
          <cell r="E245">
            <v>26.393083295667687</v>
          </cell>
        </row>
        <row r="246">
          <cell r="B246" t="str">
            <v>Ben Sinnott</v>
          </cell>
          <cell r="C246" t="str">
            <v>TE35</v>
          </cell>
          <cell r="D246">
            <v>12</v>
          </cell>
          <cell r="E246">
            <v>42.547835328036072</v>
          </cell>
        </row>
        <row r="247">
          <cell r="B247" t="str">
            <v>Isaiah Davis</v>
          </cell>
          <cell r="C247" t="str">
            <v>RB83</v>
          </cell>
          <cell r="D247">
            <v>9</v>
          </cell>
          <cell r="E247">
            <v>25.231653138603527</v>
          </cell>
        </row>
        <row r="248">
          <cell r="B248" t="str">
            <v>Trevor Etienne</v>
          </cell>
          <cell r="C248" t="str">
            <v>RB84</v>
          </cell>
          <cell r="D248">
            <v>14</v>
          </cell>
          <cell r="E248">
            <v>24.732001047629048</v>
          </cell>
        </row>
        <row r="249">
          <cell r="B249" t="str">
            <v>Justin Herbert</v>
          </cell>
          <cell r="C249" t="str">
            <v>QB19</v>
          </cell>
          <cell r="D249">
            <v>12</v>
          </cell>
          <cell r="E249">
            <v>283.08430310047999</v>
          </cell>
        </row>
        <row r="250">
          <cell r="B250" t="str">
            <v>Elijah Arroyo</v>
          </cell>
          <cell r="C250" t="str">
            <v>TE36</v>
          </cell>
          <cell r="D250">
            <v>8</v>
          </cell>
          <cell r="E250">
            <v>40.751989379861762</v>
          </cell>
        </row>
        <row r="251">
          <cell r="B251" t="str">
            <v>Noah Gray</v>
          </cell>
          <cell r="C251" t="str">
            <v>TE37</v>
          </cell>
          <cell r="D251">
            <v>10</v>
          </cell>
          <cell r="E251">
            <v>40.51695750031999</v>
          </cell>
        </row>
        <row r="252">
          <cell r="B252" t="str">
            <v>Emanuel Wilson</v>
          </cell>
          <cell r="C252" t="str">
            <v>RB85</v>
          </cell>
          <cell r="D252">
            <v>5</v>
          </cell>
          <cell r="E252">
            <v>23.045629238151772</v>
          </cell>
        </row>
        <row r="253">
          <cell r="B253" t="str">
            <v>Cole Kmet</v>
          </cell>
          <cell r="C253" t="str">
            <v>TE38</v>
          </cell>
          <cell r="D253">
            <v>5</v>
          </cell>
          <cell r="E253">
            <v>39.918931703514474</v>
          </cell>
        </row>
        <row r="254">
          <cell r="B254" t="str">
            <v>Sam Darnold</v>
          </cell>
          <cell r="C254" t="str">
            <v>QB20</v>
          </cell>
          <cell r="D254">
            <v>8</v>
          </cell>
          <cell r="E254">
            <v>282.39006651855999</v>
          </cell>
        </row>
        <row r="255">
          <cell r="B255" t="str">
            <v>Craig Reynolds</v>
          </cell>
          <cell r="C255" t="str">
            <v>RB86</v>
          </cell>
          <cell r="D255">
            <v>8</v>
          </cell>
          <cell r="E255">
            <v>21.324336531882388</v>
          </cell>
        </row>
        <row r="256">
          <cell r="B256" t="str">
            <v>Jaleel McLaughlin</v>
          </cell>
          <cell r="C256" t="str">
            <v>RB87</v>
          </cell>
          <cell r="D256">
            <v>12</v>
          </cell>
          <cell r="E256">
            <v>20.980682627519997</v>
          </cell>
        </row>
        <row r="257">
          <cell r="B257" t="str">
            <v>Antonio Gibson</v>
          </cell>
          <cell r="C257" t="str">
            <v>RB88</v>
          </cell>
          <cell r="D257">
            <v>14</v>
          </cell>
          <cell r="E257">
            <v>20.839750629844975</v>
          </cell>
        </row>
        <row r="258">
          <cell r="B258" t="str">
            <v>Tyler Higbee</v>
          </cell>
          <cell r="C258" t="str">
            <v>TE39</v>
          </cell>
          <cell r="D258">
            <v>8</v>
          </cell>
          <cell r="E258">
            <v>38.095337842503405</v>
          </cell>
        </row>
        <row r="259">
          <cell r="B259" t="str">
            <v>Devin Singletary</v>
          </cell>
          <cell r="C259" t="str">
            <v>RB89</v>
          </cell>
          <cell r="D259">
            <v>14</v>
          </cell>
          <cell r="E259">
            <v>16.158198434841022</v>
          </cell>
        </row>
        <row r="260">
          <cell r="B260" t="str">
            <v>Tua Tagovailoa</v>
          </cell>
          <cell r="C260" t="str">
            <v>QB21</v>
          </cell>
          <cell r="D260">
            <v>12</v>
          </cell>
          <cell r="E260">
            <v>279.41468162531413</v>
          </cell>
        </row>
        <row r="261">
          <cell r="B261" t="str">
            <v>Justice Hill</v>
          </cell>
          <cell r="C261" t="str">
            <v>RB90</v>
          </cell>
          <cell r="D261">
            <v>7</v>
          </cell>
          <cell r="E261">
            <v>15.392419580335083</v>
          </cell>
        </row>
        <row r="262">
          <cell r="B262" t="str">
            <v>Tyler Conklin</v>
          </cell>
          <cell r="C262" t="str">
            <v>TE40</v>
          </cell>
          <cell r="D262">
            <v>12</v>
          </cell>
          <cell r="E262">
            <v>34.085930001568194</v>
          </cell>
        </row>
        <row r="263">
          <cell r="B263" t="str">
            <v>Harold Fannin</v>
          </cell>
          <cell r="C263" t="str">
            <v>TE41</v>
          </cell>
          <cell r="D263">
            <v>9</v>
          </cell>
          <cell r="E263">
            <v>33.324827111689139</v>
          </cell>
        </row>
        <row r="264">
          <cell r="B264" t="str">
            <v>George Holani</v>
          </cell>
          <cell r="C264" t="str">
            <v>RB91</v>
          </cell>
          <cell r="D264">
            <v>8</v>
          </cell>
          <cell r="E264">
            <v>13.820178700327132</v>
          </cell>
        </row>
        <row r="265">
          <cell r="B265" t="str">
            <v>Hassan Haskins</v>
          </cell>
          <cell r="C265" t="str">
            <v>RB92</v>
          </cell>
          <cell r="D265">
            <v>12</v>
          </cell>
          <cell r="E265">
            <v>13.329434550616801</v>
          </cell>
        </row>
        <row r="266">
          <cell r="B266" t="str">
            <v>Tyler Goodson</v>
          </cell>
          <cell r="C266" t="str">
            <v>RB93</v>
          </cell>
          <cell r="D266">
            <v>11</v>
          </cell>
          <cell r="E266">
            <v>13.202049060143999</v>
          </cell>
        </row>
        <row r="267">
          <cell r="B267" t="str">
            <v>Nathan Carter</v>
          </cell>
          <cell r="C267" t="str">
            <v>RB94</v>
          </cell>
          <cell r="D267">
            <v>5</v>
          </cell>
          <cell r="E267">
            <v>13.195286308775927</v>
          </cell>
        </row>
        <row r="268">
          <cell r="B268" t="str">
            <v>Kalel Mullings</v>
          </cell>
          <cell r="C268" t="str">
            <v>RB95</v>
          </cell>
          <cell r="D268">
            <v>10</v>
          </cell>
          <cell r="E268">
            <v>12.236220870719997</v>
          </cell>
        </row>
        <row r="269">
          <cell r="B269" t="str">
            <v>LeQuint Allen</v>
          </cell>
          <cell r="C269" t="str">
            <v>RB96</v>
          </cell>
          <cell r="D269">
            <v>8</v>
          </cell>
          <cell r="E269">
            <v>12.1565665755016</v>
          </cell>
        </row>
        <row r="270">
          <cell r="B270" t="str">
            <v>Raheim Sanders</v>
          </cell>
          <cell r="C270" t="str">
            <v>RB97</v>
          </cell>
          <cell r="D270">
            <v>9</v>
          </cell>
          <cell r="E270">
            <v>12.150713380049998</v>
          </cell>
        </row>
        <row r="271">
          <cell r="B271" t="str">
            <v>Jordan James</v>
          </cell>
          <cell r="C271" t="str">
            <v>RB98</v>
          </cell>
          <cell r="D271">
            <v>14</v>
          </cell>
          <cell r="E271">
            <v>11.972761461210888</v>
          </cell>
        </row>
        <row r="272">
          <cell r="B272" t="str">
            <v>DeeJay Dallas</v>
          </cell>
          <cell r="C272" t="str">
            <v>RB99</v>
          </cell>
          <cell r="D272">
            <v>8</v>
          </cell>
          <cell r="E272">
            <v>10.869433966218825</v>
          </cell>
        </row>
        <row r="273">
          <cell r="B273" t="str">
            <v>Zamir White</v>
          </cell>
          <cell r="C273" t="str">
            <v>RB100</v>
          </cell>
          <cell r="D273">
            <v>8</v>
          </cell>
          <cell r="E273">
            <v>10.827879186563225</v>
          </cell>
        </row>
        <row r="274">
          <cell r="B274" t="str">
            <v>Oronde Gadsden</v>
          </cell>
          <cell r="C274" t="str">
            <v>TE42</v>
          </cell>
          <cell r="D274">
            <v>12</v>
          </cell>
          <cell r="E274">
            <v>30.64765156712</v>
          </cell>
        </row>
        <row r="275">
          <cell r="B275" t="str">
            <v>Noah Fant</v>
          </cell>
          <cell r="C275" t="str">
            <v>TE43</v>
          </cell>
          <cell r="D275">
            <v>10</v>
          </cell>
          <cell r="E275">
            <v>27.105043699777685</v>
          </cell>
        </row>
        <row r="276">
          <cell r="B276" t="str">
            <v>Jordan Love</v>
          </cell>
          <cell r="C276" t="str">
            <v>QB22</v>
          </cell>
          <cell r="D276">
            <v>5</v>
          </cell>
          <cell r="E276">
            <v>274.38326973241618</v>
          </cell>
        </row>
        <row r="277">
          <cell r="B277" t="str">
            <v>Dawson Knox</v>
          </cell>
          <cell r="C277" t="str">
            <v>TE44</v>
          </cell>
          <cell r="D277">
            <v>7</v>
          </cell>
          <cell r="E277">
            <v>25.5402754949626</v>
          </cell>
        </row>
        <row r="278">
          <cell r="B278" t="str">
            <v>Tommy Tremble</v>
          </cell>
          <cell r="C278" t="str">
            <v>TE45</v>
          </cell>
          <cell r="D278">
            <v>14</v>
          </cell>
          <cell r="E278">
            <v>25.391491843997997</v>
          </cell>
        </row>
        <row r="279">
          <cell r="B279" t="str">
            <v>Bryce Young</v>
          </cell>
          <cell r="C279" t="str">
            <v>QB23</v>
          </cell>
          <cell r="D279">
            <v>14</v>
          </cell>
          <cell r="E279">
            <v>272.86384063636029</v>
          </cell>
        </row>
        <row r="280">
          <cell r="B280" t="str">
            <v>Luke Musgrave</v>
          </cell>
          <cell r="C280" t="str">
            <v>TE46</v>
          </cell>
          <cell r="D280">
            <v>5</v>
          </cell>
          <cell r="E280">
            <v>23.632250181964665</v>
          </cell>
        </row>
        <row r="281">
          <cell r="B281" t="str">
            <v>Austin Hooper</v>
          </cell>
          <cell r="C281" t="str">
            <v>TE47</v>
          </cell>
          <cell r="D281">
            <v>14</v>
          </cell>
          <cell r="E281">
            <v>22.549303801382404</v>
          </cell>
        </row>
        <row r="282">
          <cell r="B282" t="str">
            <v>Michael Penix Jr</v>
          </cell>
          <cell r="C282" t="str">
            <v>QB24</v>
          </cell>
          <cell r="D282">
            <v>5</v>
          </cell>
          <cell r="E282">
            <v>270.88156750548097</v>
          </cell>
        </row>
        <row r="283">
          <cell r="B283" t="str">
            <v>Foster Moreau</v>
          </cell>
          <cell r="C283" t="str">
            <v>TE48</v>
          </cell>
          <cell r="D283">
            <v>11</v>
          </cell>
          <cell r="E283">
            <v>21.744793882613198</v>
          </cell>
        </row>
        <row r="284">
          <cell r="B284" t="str">
            <v>Luke Schoonmaker</v>
          </cell>
          <cell r="C284" t="str">
            <v>TE49</v>
          </cell>
          <cell r="D284">
            <v>10</v>
          </cell>
          <cell r="E284">
            <v>20.345414918269867</v>
          </cell>
        </row>
        <row r="285">
          <cell r="B285" t="str">
            <v>Jeremy Ruckert</v>
          </cell>
          <cell r="C285" t="str">
            <v>TE50</v>
          </cell>
          <cell r="D285">
            <v>9</v>
          </cell>
          <cell r="E285">
            <v>20.053684469112504</v>
          </cell>
        </row>
        <row r="286">
          <cell r="B286" t="str">
            <v>JJ McCarthy</v>
          </cell>
          <cell r="C286" t="str">
            <v>QB25</v>
          </cell>
          <cell r="D286">
            <v>6</v>
          </cell>
          <cell r="E286">
            <v>266.84551510499995</v>
          </cell>
        </row>
        <row r="287">
          <cell r="B287" t="str">
            <v>Cam Ward</v>
          </cell>
          <cell r="C287" t="str">
            <v>QB26</v>
          </cell>
          <cell r="D287">
            <v>10</v>
          </cell>
          <cell r="E287">
            <v>261.90983072113136</v>
          </cell>
        </row>
        <row r="288">
          <cell r="B288" t="str">
            <v>Aaron Rodgers</v>
          </cell>
          <cell r="C288" t="str">
            <v>QB27</v>
          </cell>
          <cell r="D288">
            <v>5</v>
          </cell>
          <cell r="E288">
            <v>248.36390297780997</v>
          </cell>
        </row>
        <row r="289">
          <cell r="B289" t="str">
            <v>Matthew Stafford</v>
          </cell>
          <cell r="C289" t="str">
            <v>QB28</v>
          </cell>
          <cell r="D289">
            <v>8</v>
          </cell>
          <cell r="E289">
            <v>236.88977804227537</v>
          </cell>
        </row>
        <row r="290">
          <cell r="B290" t="str">
            <v>Daniel Jones</v>
          </cell>
          <cell r="C290" t="str">
            <v>QB29</v>
          </cell>
          <cell r="D290">
            <v>11</v>
          </cell>
          <cell r="E290">
            <v>182.06015661722085</v>
          </cell>
        </row>
        <row r="291">
          <cell r="B291" t="str">
            <v>Russell Wilson</v>
          </cell>
          <cell r="C291" t="str">
            <v>QB30</v>
          </cell>
          <cell r="D291">
            <v>14</v>
          </cell>
          <cell r="E291">
            <v>167.12126996849997</v>
          </cell>
        </row>
        <row r="292">
          <cell r="B292" t="str">
            <v>Spencer Rattler</v>
          </cell>
          <cell r="C292" t="str">
            <v>QB31</v>
          </cell>
          <cell r="D292">
            <v>11</v>
          </cell>
          <cell r="E292">
            <v>150.94587505759995</v>
          </cell>
        </row>
        <row r="293">
          <cell r="B293" t="str">
            <v>Joe Flacco</v>
          </cell>
          <cell r="C293" t="str">
            <v>QB32</v>
          </cell>
          <cell r="D293">
            <v>9</v>
          </cell>
          <cell r="E293">
            <v>144.60535908000003</v>
          </cell>
        </row>
        <row r="294">
          <cell r="B294" t="str">
            <v>Anthony Richardson</v>
          </cell>
          <cell r="C294" t="str">
            <v>QB33</v>
          </cell>
          <cell r="D294">
            <v>11</v>
          </cell>
          <cell r="E294">
            <v>113.61354353207437</v>
          </cell>
        </row>
        <row r="295">
          <cell r="B295" t="str">
            <v>Tyler Shough</v>
          </cell>
          <cell r="C295" t="str">
            <v>QB34</v>
          </cell>
          <cell r="D295">
            <v>11</v>
          </cell>
          <cell r="E295">
            <v>71.499970449599971</v>
          </cell>
        </row>
        <row r="296">
          <cell r="B296" t="str">
            <v>Jaxson Dart</v>
          </cell>
          <cell r="C296" t="str">
            <v>QB35</v>
          </cell>
          <cell r="D296">
            <v>14</v>
          </cell>
          <cell r="E296">
            <v>70.901424023040008</v>
          </cell>
        </row>
        <row r="297">
          <cell r="B297" t="str">
            <v>Dillon Gabriel</v>
          </cell>
          <cell r="C297" t="str">
            <v>QB36</v>
          </cell>
          <cell r="D297">
            <v>9</v>
          </cell>
          <cell r="E297">
            <v>47.820463253724029</v>
          </cell>
        </row>
        <row r="298">
          <cell r="B298" t="str">
            <v>Jimmy Garoppolo</v>
          </cell>
          <cell r="C298" t="str">
            <v>QB37</v>
          </cell>
          <cell r="D298">
            <v>8</v>
          </cell>
          <cell r="E298">
            <v>39.127237214301985</v>
          </cell>
        </row>
        <row r="299">
          <cell r="B299" t="str">
            <v>Shedeur Sanders</v>
          </cell>
          <cell r="C299" t="str">
            <v>QB38</v>
          </cell>
          <cell r="D299">
            <v>9</v>
          </cell>
          <cell r="E299">
            <v>37.449807674999995</v>
          </cell>
        </row>
        <row r="300">
          <cell r="B300" t="str">
            <v>Tyrod Taylor</v>
          </cell>
          <cell r="C300" t="str">
            <v>QB39</v>
          </cell>
          <cell r="D300">
            <v>9</v>
          </cell>
          <cell r="E300">
            <v>24.387857744388281</v>
          </cell>
        </row>
        <row r="301">
          <cell r="B301" t="str">
            <v>Jameis Winston</v>
          </cell>
          <cell r="C301" t="str">
            <v>QB40</v>
          </cell>
          <cell r="D301">
            <v>14</v>
          </cell>
          <cell r="E301">
            <v>19.510935451832093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ual_week11_ppr_stats"/>
    </sheetNames>
    <sheetDataSet>
      <sheetData sheetId="0">
        <row r="1">
          <cell r="A1" t="str">
            <v>player</v>
          </cell>
          <cell r="B1" t="str">
            <v>fantasyPts</v>
          </cell>
        </row>
        <row r="2">
          <cell r="A2" t="str">
            <v>Josh Allen</v>
          </cell>
          <cell r="B2">
            <v>268.5</v>
          </cell>
        </row>
        <row r="3">
          <cell r="A3" t="str">
            <v>Drake Maye</v>
          </cell>
          <cell r="B3">
            <v>228.9</v>
          </cell>
        </row>
        <row r="4">
          <cell r="A4" t="str">
            <v>Patrick Mahomes</v>
          </cell>
          <cell r="B4">
            <v>223.8</v>
          </cell>
        </row>
        <row r="5">
          <cell r="A5" t="str">
            <v>Justin Herbert</v>
          </cell>
          <cell r="B5">
            <v>215.1</v>
          </cell>
        </row>
        <row r="6">
          <cell r="A6" t="str">
            <v>Matthew Stafford</v>
          </cell>
          <cell r="B6">
            <v>207.4</v>
          </cell>
        </row>
        <row r="7">
          <cell r="A7" t="str">
            <v>Jalen Hurts</v>
          </cell>
          <cell r="B7">
            <v>205.3</v>
          </cell>
        </row>
        <row r="8">
          <cell r="A8" t="str">
            <v>Daniel Jones</v>
          </cell>
          <cell r="B8">
            <v>203.7</v>
          </cell>
        </row>
        <row r="9">
          <cell r="A9" t="str">
            <v>Bo Nix</v>
          </cell>
          <cell r="B9">
            <v>200.1</v>
          </cell>
        </row>
        <row r="10">
          <cell r="A10" t="str">
            <v>Dak Prescott</v>
          </cell>
          <cell r="B10">
            <v>199.2</v>
          </cell>
        </row>
        <row r="11">
          <cell r="A11" t="str">
            <v>Caleb Williams</v>
          </cell>
          <cell r="B11">
            <v>186.4</v>
          </cell>
        </row>
        <row r="12">
          <cell r="A12" t="str">
            <v>Baker Mayfield</v>
          </cell>
          <cell r="B12">
            <v>185.3</v>
          </cell>
        </row>
        <row r="13">
          <cell r="A13" t="str">
            <v>Jared Goff</v>
          </cell>
          <cell r="B13">
            <v>181.8</v>
          </cell>
        </row>
        <row r="14">
          <cell r="A14" t="str">
            <v>Trevor Lawrence</v>
          </cell>
          <cell r="B14">
            <v>170.1</v>
          </cell>
        </row>
        <row r="15">
          <cell r="A15" t="str">
            <v>Jordan Love</v>
          </cell>
          <cell r="B15">
            <v>168.3</v>
          </cell>
        </row>
        <row r="16">
          <cell r="A16" t="str">
            <v>Jaxson Dart</v>
          </cell>
          <cell r="B16">
            <v>167.4</v>
          </cell>
        </row>
        <row r="17">
          <cell r="A17" t="str">
            <v>Sam Darnold</v>
          </cell>
          <cell r="B17">
            <v>164.6</v>
          </cell>
        </row>
        <row r="18">
          <cell r="A18" t="str">
            <v>Aaron Rodgers</v>
          </cell>
          <cell r="B18">
            <v>150.4</v>
          </cell>
        </row>
        <row r="19">
          <cell r="A19" t="str">
            <v>Joe Flacco</v>
          </cell>
          <cell r="B19">
            <v>146.5</v>
          </cell>
        </row>
        <row r="20">
          <cell r="A20" t="str">
            <v>Tua Tagovailoa</v>
          </cell>
          <cell r="B20">
            <v>143.69999999999999</v>
          </cell>
        </row>
        <row r="21">
          <cell r="A21" t="str">
            <v>Lamar Jackson</v>
          </cell>
          <cell r="B21">
            <v>143.30000000000001</v>
          </cell>
        </row>
        <row r="22">
          <cell r="A22" t="str">
            <v>Bryce Young</v>
          </cell>
          <cell r="B22">
            <v>141.80000000000001</v>
          </cell>
        </row>
        <row r="23">
          <cell r="A23" t="str">
            <v>Justin Fields</v>
          </cell>
          <cell r="B23">
            <v>139.69999999999999</v>
          </cell>
        </row>
        <row r="24">
          <cell r="A24" t="str">
            <v>Mac Jones</v>
          </cell>
          <cell r="B24">
            <v>138.1</v>
          </cell>
        </row>
        <row r="25">
          <cell r="A25" t="str">
            <v>Geno Smith</v>
          </cell>
          <cell r="B25">
            <v>128.5</v>
          </cell>
        </row>
        <row r="26">
          <cell r="A26" t="str">
            <v>CJ Stroud</v>
          </cell>
          <cell r="B26">
            <v>126</v>
          </cell>
        </row>
        <row r="27">
          <cell r="A27" t="str">
            <v>Michael Penix Jr</v>
          </cell>
          <cell r="B27">
            <v>125.3</v>
          </cell>
        </row>
        <row r="28">
          <cell r="A28" t="str">
            <v>Jayden Daniels</v>
          </cell>
          <cell r="B28">
            <v>115.6</v>
          </cell>
        </row>
        <row r="29">
          <cell r="A29" t="str">
            <v>Jacoby Brissett</v>
          </cell>
          <cell r="B29">
            <v>113.8</v>
          </cell>
        </row>
        <row r="30">
          <cell r="A30" t="str">
            <v>Spencer Rattler</v>
          </cell>
          <cell r="B30">
            <v>107.1</v>
          </cell>
        </row>
        <row r="31">
          <cell r="A31" t="str">
            <v>Cam Ward</v>
          </cell>
          <cell r="B31">
            <v>104.1</v>
          </cell>
        </row>
        <row r="32">
          <cell r="A32" t="str">
            <v>Marcus Mariota</v>
          </cell>
          <cell r="B32">
            <v>90.9</v>
          </cell>
        </row>
        <row r="33">
          <cell r="A33" t="str">
            <v>Kyler Murray</v>
          </cell>
          <cell r="B33">
            <v>82.8</v>
          </cell>
        </row>
        <row r="34">
          <cell r="A34" t="str">
            <v>Carson Wentz</v>
          </cell>
          <cell r="B34">
            <v>73.3</v>
          </cell>
        </row>
        <row r="35">
          <cell r="A35" t="str">
            <v>JJ McCarthy</v>
          </cell>
          <cell r="B35">
            <v>72.7</v>
          </cell>
        </row>
        <row r="36">
          <cell r="A36" t="str">
            <v>Dillon Gabriel</v>
          </cell>
          <cell r="B36">
            <v>72.099999999999994</v>
          </cell>
        </row>
        <row r="37">
          <cell r="A37" t="str">
            <v>Davis Mills</v>
          </cell>
          <cell r="B37">
            <v>65</v>
          </cell>
        </row>
        <row r="38">
          <cell r="A38" t="str">
            <v>Brock Purdy</v>
          </cell>
          <cell r="B38">
            <v>57.7</v>
          </cell>
        </row>
        <row r="39">
          <cell r="A39" t="str">
            <v>Jake Browning</v>
          </cell>
          <cell r="B39">
            <v>56.2</v>
          </cell>
        </row>
        <row r="40">
          <cell r="A40" t="str">
            <v>Russell Wilson</v>
          </cell>
          <cell r="B40">
            <v>52.8</v>
          </cell>
        </row>
        <row r="41">
          <cell r="A41" t="str">
            <v>Tyler Shough</v>
          </cell>
          <cell r="B41">
            <v>34.5</v>
          </cell>
        </row>
        <row r="42">
          <cell r="A42" t="str">
            <v>Tyrod Taylor</v>
          </cell>
          <cell r="B42">
            <v>32.200000000000003</v>
          </cell>
        </row>
        <row r="43">
          <cell r="A43" t="str">
            <v>Tyler Huntley</v>
          </cell>
          <cell r="B43">
            <v>23.4</v>
          </cell>
        </row>
        <row r="44">
          <cell r="A44" t="str">
            <v>Joe Burrow</v>
          </cell>
          <cell r="B44">
            <v>15.9</v>
          </cell>
        </row>
        <row r="45">
          <cell r="A45" t="str">
            <v>Andy Dalton</v>
          </cell>
          <cell r="B45">
            <v>14.5</v>
          </cell>
        </row>
        <row r="46">
          <cell r="A46" t="str">
            <v>Jameis Winston</v>
          </cell>
          <cell r="B46">
            <v>14</v>
          </cell>
        </row>
        <row r="47">
          <cell r="A47" t="str">
            <v>Kirk Cousins</v>
          </cell>
          <cell r="B47">
            <v>10.4</v>
          </cell>
        </row>
        <row r="48">
          <cell r="A48" t="str">
            <v>Mason Rudolph</v>
          </cell>
          <cell r="B48">
            <v>9.5</v>
          </cell>
        </row>
        <row r="49">
          <cell r="A49" t="str">
            <v>Cooper Rush</v>
          </cell>
          <cell r="B49">
            <v>7.7</v>
          </cell>
        </row>
        <row r="50">
          <cell r="A50" t="str">
            <v>Joe Milton III</v>
          </cell>
          <cell r="B50">
            <v>7</v>
          </cell>
        </row>
        <row r="51">
          <cell r="A51" t="str">
            <v>Malik Willis</v>
          </cell>
          <cell r="B51">
            <v>5.8</v>
          </cell>
        </row>
        <row r="52">
          <cell r="A52" t="str">
            <v>Trey Lance</v>
          </cell>
          <cell r="B52">
            <v>4.4000000000000004</v>
          </cell>
        </row>
        <row r="53">
          <cell r="A53" t="str">
            <v>Tyson Bagent</v>
          </cell>
          <cell r="B53">
            <v>2.6</v>
          </cell>
        </row>
        <row r="54">
          <cell r="A54" t="str">
            <v>Shedeur Sanders</v>
          </cell>
          <cell r="B54">
            <v>2.5</v>
          </cell>
        </row>
        <row r="55">
          <cell r="A55" t="str">
            <v>Mitch Trubisky</v>
          </cell>
          <cell r="B55">
            <v>2.2999999999999998</v>
          </cell>
        </row>
        <row r="56">
          <cell r="A56" t="str">
            <v>Quinn Ewers</v>
          </cell>
          <cell r="B56">
            <v>2.1</v>
          </cell>
        </row>
        <row r="57">
          <cell r="A57" t="str">
            <v>Max Brosmer</v>
          </cell>
          <cell r="B57">
            <v>1.6</v>
          </cell>
        </row>
        <row r="58">
          <cell r="A58" t="str">
            <v>Zach Wilson</v>
          </cell>
          <cell r="B58">
            <v>1.6</v>
          </cell>
        </row>
        <row r="59">
          <cell r="A59" t="str">
            <v>Jalen Milroe</v>
          </cell>
          <cell r="B59">
            <v>0.4</v>
          </cell>
        </row>
        <row r="60">
          <cell r="A60" t="str">
            <v>Anthony Richardson</v>
          </cell>
          <cell r="B60">
            <v>0.3</v>
          </cell>
        </row>
        <row r="61">
          <cell r="A61" t="str">
            <v>Kenny Pickett</v>
          </cell>
          <cell r="B61">
            <v>0.3</v>
          </cell>
        </row>
        <row r="62">
          <cell r="A62" t="str">
            <v>Riley Leonard</v>
          </cell>
          <cell r="B62">
            <v>0.1</v>
          </cell>
        </row>
        <row r="63">
          <cell r="A63" t="str">
            <v>Drew Lock</v>
          </cell>
          <cell r="B63">
            <v>0.1</v>
          </cell>
        </row>
        <row r="64">
          <cell r="A64" t="str">
            <v>Joshua Dobbs</v>
          </cell>
          <cell r="B64">
            <v>0.1</v>
          </cell>
        </row>
        <row r="65">
          <cell r="A65" t="str">
            <v>Kedon Slovis</v>
          </cell>
          <cell r="B65">
            <v>0</v>
          </cell>
        </row>
        <row r="66">
          <cell r="A66" t="str">
            <v>Brett Rypien</v>
          </cell>
          <cell r="B66">
            <v>0</v>
          </cell>
        </row>
        <row r="67">
          <cell r="A67" t="str">
            <v>Nick Mullens</v>
          </cell>
          <cell r="B67">
            <v>0</v>
          </cell>
        </row>
        <row r="68">
          <cell r="A68" t="str">
            <v>Josh Johnson</v>
          </cell>
          <cell r="B68">
            <v>0</v>
          </cell>
        </row>
        <row r="69">
          <cell r="A69" t="str">
            <v>Adrian Martinez</v>
          </cell>
          <cell r="B69">
            <v>-0.1</v>
          </cell>
        </row>
        <row r="70">
          <cell r="A70" t="str">
            <v>Jarrett Stidham</v>
          </cell>
          <cell r="B70">
            <v>-0.1</v>
          </cell>
        </row>
        <row r="71">
          <cell r="A71" t="str">
            <v>Tanner McKee</v>
          </cell>
          <cell r="B71">
            <v>-0.2</v>
          </cell>
        </row>
        <row r="72">
          <cell r="A72" t="str">
            <v>Teddy Bridgewater</v>
          </cell>
          <cell r="B72">
            <v>-0.2</v>
          </cell>
        </row>
        <row r="73">
          <cell r="A73" t="str">
            <v>Kyle Allen</v>
          </cell>
          <cell r="B73">
            <v>-0.3</v>
          </cell>
        </row>
        <row r="74">
          <cell r="A74" t="str">
            <v>Jimmy Garoppolo</v>
          </cell>
          <cell r="B74">
            <v>-0.3</v>
          </cell>
        </row>
        <row r="75">
          <cell r="A75" t="str">
            <v>Gardner Minshew</v>
          </cell>
          <cell r="B75">
            <v>-0.6</v>
          </cell>
        </row>
        <row r="76">
          <cell r="A76" t="str">
            <v>Jahdae Walker</v>
          </cell>
          <cell r="B76">
            <v>0</v>
          </cell>
        </row>
        <row r="77">
          <cell r="A77" t="str">
            <v>Isaac TeSlaa</v>
          </cell>
          <cell r="B77">
            <v>22.5</v>
          </cell>
        </row>
        <row r="78">
          <cell r="A78" t="str">
            <v>Isaiah Bond</v>
          </cell>
          <cell r="B78">
            <v>25</v>
          </cell>
        </row>
        <row r="79">
          <cell r="A79" t="str">
            <v>Ryan Flournoy</v>
          </cell>
          <cell r="B79">
            <v>51.5</v>
          </cell>
        </row>
        <row r="80">
          <cell r="A80" t="str">
            <v>Tetairoa McMillan</v>
          </cell>
          <cell r="B80">
            <v>152.80000000000001</v>
          </cell>
        </row>
        <row r="81">
          <cell r="A81" t="str">
            <v>Luther Burden III</v>
          </cell>
          <cell r="B81">
            <v>50.5</v>
          </cell>
        </row>
        <row r="82">
          <cell r="A82" t="str">
            <v>Gage Larvadain</v>
          </cell>
          <cell r="B82">
            <v>4.5</v>
          </cell>
        </row>
        <row r="83">
          <cell r="A83" t="str">
            <v>Jackson Meeks</v>
          </cell>
          <cell r="B83">
            <v>0</v>
          </cell>
        </row>
        <row r="84">
          <cell r="A84" t="str">
            <v>Ja'Corey Brooks</v>
          </cell>
          <cell r="B84">
            <v>0</v>
          </cell>
        </row>
        <row r="85">
          <cell r="A85" t="str">
            <v>Dont'e Thornton Jr</v>
          </cell>
          <cell r="B85">
            <v>15.8</v>
          </cell>
        </row>
        <row r="86">
          <cell r="A86" t="str">
            <v>Devontez Walker</v>
          </cell>
          <cell r="B86">
            <v>21</v>
          </cell>
        </row>
        <row r="87">
          <cell r="A87" t="str">
            <v>Konata Mumpfield</v>
          </cell>
          <cell r="B87">
            <v>9.1999999999999993</v>
          </cell>
        </row>
        <row r="88">
          <cell r="A88" t="str">
            <v>Emeka Egbuka</v>
          </cell>
          <cell r="B88">
            <v>153.6</v>
          </cell>
        </row>
        <row r="89">
          <cell r="A89" t="str">
            <v>Keon Coleman</v>
          </cell>
          <cell r="B89">
            <v>83</v>
          </cell>
        </row>
        <row r="90">
          <cell r="A90" t="str">
            <v>Tai Felton</v>
          </cell>
          <cell r="B90">
            <v>1.9</v>
          </cell>
        </row>
        <row r="91">
          <cell r="A91" t="str">
            <v>Xavier Worthy</v>
          </cell>
          <cell r="B91">
            <v>68.400000000000006</v>
          </cell>
        </row>
        <row r="92">
          <cell r="A92" t="str">
            <v>Jaxon Smith-Njigba</v>
          </cell>
          <cell r="B92">
            <v>219.9</v>
          </cell>
        </row>
        <row r="93">
          <cell r="A93" t="str">
            <v>Kyle Williams</v>
          </cell>
          <cell r="B93">
            <v>18</v>
          </cell>
        </row>
        <row r="94">
          <cell r="A94" t="str">
            <v>Tory Horton</v>
          </cell>
          <cell r="B94">
            <v>59.1</v>
          </cell>
        </row>
        <row r="95">
          <cell r="A95" t="str">
            <v>Jalin Hyatt</v>
          </cell>
          <cell r="B95">
            <v>8.5</v>
          </cell>
        </row>
        <row r="96">
          <cell r="A96" t="str">
            <v>Malik Heath</v>
          </cell>
          <cell r="B96">
            <v>14.6</v>
          </cell>
        </row>
        <row r="97">
          <cell r="A97" t="str">
            <v>Kayshon Boutte</v>
          </cell>
          <cell r="B97">
            <v>96.1</v>
          </cell>
        </row>
        <row r="98">
          <cell r="A98" t="str">
            <v>Quentin Johnston</v>
          </cell>
          <cell r="B98">
            <v>123.9</v>
          </cell>
        </row>
        <row r="99">
          <cell r="A99" t="str">
            <v>Jordan Addison</v>
          </cell>
          <cell r="B99">
            <v>88.8</v>
          </cell>
        </row>
        <row r="100">
          <cell r="A100" t="str">
            <v>Marvin Mims Jr</v>
          </cell>
          <cell r="B100">
            <v>63</v>
          </cell>
        </row>
        <row r="101">
          <cell r="A101" t="str">
            <v>Jordan Watkins</v>
          </cell>
          <cell r="B101">
            <v>4.5999999999999996</v>
          </cell>
        </row>
        <row r="102">
          <cell r="A102" t="str">
            <v>Jalen Brooks</v>
          </cell>
          <cell r="B102">
            <v>0</v>
          </cell>
        </row>
        <row r="103">
          <cell r="A103" t="str">
            <v>Mason Tipton</v>
          </cell>
          <cell r="B103">
            <v>0</v>
          </cell>
        </row>
        <row r="104">
          <cell r="A104" t="str">
            <v>Wan'Dale Robinson</v>
          </cell>
          <cell r="B104">
            <v>133</v>
          </cell>
        </row>
        <row r="105">
          <cell r="A105" t="str">
            <v>Casey Washington</v>
          </cell>
          <cell r="B105">
            <v>15.4</v>
          </cell>
        </row>
        <row r="106">
          <cell r="A106" t="str">
            <v>Jameson Williams</v>
          </cell>
          <cell r="B106">
            <v>118.2</v>
          </cell>
        </row>
        <row r="107">
          <cell r="A107" t="str">
            <v>Xavier Weaver</v>
          </cell>
          <cell r="B107">
            <v>3.5</v>
          </cell>
        </row>
        <row r="108">
          <cell r="A108" t="str">
            <v>Devaughn Vele</v>
          </cell>
          <cell r="B108">
            <v>17.399999999999999</v>
          </cell>
        </row>
        <row r="109">
          <cell r="A109" t="str">
            <v>George Pickens</v>
          </cell>
          <cell r="B109">
            <v>190.8</v>
          </cell>
        </row>
        <row r="110">
          <cell r="A110" t="str">
            <v>Treylon Burks</v>
          </cell>
          <cell r="B110">
            <v>11.2</v>
          </cell>
        </row>
        <row r="111">
          <cell r="A111" t="str">
            <v>Xavier Legette</v>
          </cell>
          <cell r="B111">
            <v>68.400000000000006</v>
          </cell>
        </row>
        <row r="112">
          <cell r="A112" t="str">
            <v>Garrett Wilson</v>
          </cell>
          <cell r="B112">
            <v>99.5</v>
          </cell>
        </row>
        <row r="113">
          <cell r="A113" t="str">
            <v>Jamari Thrash</v>
          </cell>
          <cell r="B113">
            <v>20.7</v>
          </cell>
        </row>
        <row r="114">
          <cell r="A114" t="str">
            <v>Cedric Tillman</v>
          </cell>
          <cell r="B114">
            <v>44.9</v>
          </cell>
        </row>
        <row r="115">
          <cell r="A115" t="str">
            <v>Romeo Doubs</v>
          </cell>
          <cell r="B115">
            <v>112.9</v>
          </cell>
        </row>
        <row r="116">
          <cell r="A116" t="str">
            <v>Elijah Moore</v>
          </cell>
          <cell r="B116">
            <v>28.6</v>
          </cell>
        </row>
        <row r="117">
          <cell r="A117" t="str">
            <v>Rashod Bateman</v>
          </cell>
          <cell r="B117">
            <v>47.4</v>
          </cell>
        </row>
        <row r="118">
          <cell r="A118" t="str">
            <v>Ja'Marr Chase</v>
          </cell>
          <cell r="B118">
            <v>195.7</v>
          </cell>
        </row>
        <row r="119">
          <cell r="A119" t="str">
            <v>Jaylen Waddle</v>
          </cell>
          <cell r="B119">
            <v>151.19999999999999</v>
          </cell>
        </row>
        <row r="120">
          <cell r="A120" t="str">
            <v>Derius Davis</v>
          </cell>
          <cell r="B120">
            <v>1.8</v>
          </cell>
        </row>
        <row r="121">
          <cell r="A121" t="str">
            <v>Dylan Drummond</v>
          </cell>
          <cell r="B121">
            <v>0</v>
          </cell>
        </row>
        <row r="122">
          <cell r="A122" t="str">
            <v>Tyquan Thornton</v>
          </cell>
          <cell r="B122">
            <v>70.2</v>
          </cell>
        </row>
        <row r="123">
          <cell r="A123" t="str">
            <v>Jake Bobo</v>
          </cell>
          <cell r="B123">
            <v>4</v>
          </cell>
        </row>
        <row r="124">
          <cell r="A124" t="str">
            <v>Dyami Brown</v>
          </cell>
          <cell r="B124">
            <v>49.5</v>
          </cell>
        </row>
        <row r="125">
          <cell r="A125" t="str">
            <v>Tutu Atwell</v>
          </cell>
          <cell r="B125">
            <v>26.4</v>
          </cell>
        </row>
        <row r="126">
          <cell r="A126" t="str">
            <v>Joshua Palmer</v>
          </cell>
          <cell r="B126">
            <v>45.2</v>
          </cell>
        </row>
        <row r="127">
          <cell r="A127" t="str">
            <v>Tay Martin</v>
          </cell>
          <cell r="B127">
            <v>4.3</v>
          </cell>
        </row>
        <row r="128">
          <cell r="A128" t="str">
            <v>Bo Melton</v>
          </cell>
          <cell r="B128">
            <v>6.8</v>
          </cell>
        </row>
        <row r="129">
          <cell r="A129" t="str">
            <v>Nico Collins</v>
          </cell>
          <cell r="B129">
            <v>146.5</v>
          </cell>
        </row>
        <row r="130">
          <cell r="A130" t="str">
            <v>Brandon Smith</v>
          </cell>
          <cell r="B130">
            <v>0</v>
          </cell>
        </row>
        <row r="131">
          <cell r="A131" t="str">
            <v>Tyrell Shavers</v>
          </cell>
          <cell r="B131">
            <v>34.200000000000003</v>
          </cell>
        </row>
        <row r="132">
          <cell r="A132" t="str">
            <v>Jerry Jeudy</v>
          </cell>
          <cell r="B132">
            <v>72.599999999999994</v>
          </cell>
        </row>
        <row r="133">
          <cell r="A133" t="str">
            <v>Gabe Davis</v>
          </cell>
          <cell r="B133">
            <v>10.199999999999999</v>
          </cell>
        </row>
        <row r="134">
          <cell r="A134" t="str">
            <v>Charlie Jones</v>
          </cell>
          <cell r="B134">
            <v>0</v>
          </cell>
        </row>
        <row r="135">
          <cell r="A135" t="str">
            <v>Austin Trammell</v>
          </cell>
          <cell r="B135">
            <v>7.6</v>
          </cell>
        </row>
        <row r="136">
          <cell r="A136" t="str">
            <v>Darnell Mooney</v>
          </cell>
          <cell r="B136">
            <v>38.4</v>
          </cell>
        </row>
        <row r="137">
          <cell r="A137" t="str">
            <v>Terry McLaurin</v>
          </cell>
          <cell r="B137">
            <v>39.299999999999997</v>
          </cell>
        </row>
        <row r="138">
          <cell r="A138" t="str">
            <v>Courtland Sutton</v>
          </cell>
          <cell r="B138">
            <v>133.9</v>
          </cell>
        </row>
        <row r="139">
          <cell r="A139" t="str">
            <v>Malik Turner</v>
          </cell>
          <cell r="B139">
            <v>0</v>
          </cell>
        </row>
        <row r="140">
          <cell r="A140" t="str">
            <v>James Proche II</v>
          </cell>
          <cell r="B140">
            <v>0</v>
          </cell>
        </row>
        <row r="141">
          <cell r="A141" t="str">
            <v>Jauan Jennings</v>
          </cell>
          <cell r="B141">
            <v>87.8</v>
          </cell>
        </row>
        <row r="142">
          <cell r="A142" t="str">
            <v>Andre Baccellia</v>
          </cell>
          <cell r="B142">
            <v>1.5</v>
          </cell>
        </row>
        <row r="143">
          <cell r="A143" t="str">
            <v>DK Metcalf</v>
          </cell>
          <cell r="B143">
            <v>122.1</v>
          </cell>
        </row>
        <row r="144">
          <cell r="A144" t="str">
            <v>Van Jefferson</v>
          </cell>
          <cell r="B144">
            <v>41.9</v>
          </cell>
        </row>
        <row r="145">
          <cell r="A145" t="str">
            <v>Olamide Zaccheaus</v>
          </cell>
          <cell r="B145">
            <v>65.3</v>
          </cell>
        </row>
        <row r="146">
          <cell r="A146" t="str">
            <v>David Sills V</v>
          </cell>
          <cell r="B146">
            <v>7.4</v>
          </cell>
        </row>
        <row r="147">
          <cell r="A147" t="str">
            <v>D'Wayne Eskridge</v>
          </cell>
          <cell r="B147">
            <v>10.199999999999999</v>
          </cell>
        </row>
        <row r="148">
          <cell r="A148" t="str">
            <v>Michael Pittman Jr</v>
          </cell>
          <cell r="B148">
            <v>148</v>
          </cell>
        </row>
        <row r="149">
          <cell r="A149" t="str">
            <v>Ben Skowronek</v>
          </cell>
          <cell r="B149">
            <v>11.5</v>
          </cell>
        </row>
        <row r="150">
          <cell r="A150" t="str">
            <v>KhaDarel Hodge</v>
          </cell>
          <cell r="B150">
            <v>6.1</v>
          </cell>
        </row>
        <row r="151">
          <cell r="A151" t="str">
            <v>Tim Patrick</v>
          </cell>
          <cell r="B151">
            <v>27.3</v>
          </cell>
        </row>
        <row r="152">
          <cell r="A152" t="str">
            <v>Jamal Agnew</v>
          </cell>
          <cell r="B152">
            <v>0</v>
          </cell>
        </row>
        <row r="153">
          <cell r="A153" t="str">
            <v>Josh Reynolds</v>
          </cell>
          <cell r="B153">
            <v>21.1</v>
          </cell>
        </row>
        <row r="154">
          <cell r="A154" t="str">
            <v>Chris Godwin</v>
          </cell>
          <cell r="B154">
            <v>11.2</v>
          </cell>
        </row>
        <row r="155">
          <cell r="A155" t="str">
            <v>JuJu Smith-Schuster</v>
          </cell>
          <cell r="B155">
            <v>60.1</v>
          </cell>
        </row>
        <row r="156">
          <cell r="A156" t="str">
            <v>Zay Jones</v>
          </cell>
          <cell r="B156">
            <v>30.3</v>
          </cell>
        </row>
        <row r="157">
          <cell r="A157" t="str">
            <v>Chris Moore</v>
          </cell>
          <cell r="B157">
            <v>36.1</v>
          </cell>
        </row>
        <row r="158">
          <cell r="A158" t="str">
            <v>Davante Adams</v>
          </cell>
          <cell r="B158">
            <v>159.9</v>
          </cell>
        </row>
        <row r="159">
          <cell r="A159" t="str">
            <v>Mike Evans</v>
          </cell>
          <cell r="B159">
            <v>34</v>
          </cell>
        </row>
        <row r="160">
          <cell r="A160" t="str">
            <v>DeAndre Hopkins</v>
          </cell>
          <cell r="B160">
            <v>46.9</v>
          </cell>
        </row>
        <row r="161">
          <cell r="A161" t="str">
            <v>Jaylin Noel</v>
          </cell>
          <cell r="B161">
            <v>48.2</v>
          </cell>
        </row>
        <row r="162">
          <cell r="A162" t="str">
            <v>Tre Harris</v>
          </cell>
          <cell r="B162">
            <v>35.700000000000003</v>
          </cell>
        </row>
        <row r="163">
          <cell r="A163" t="str">
            <v>Mason Kinsey</v>
          </cell>
          <cell r="B163">
            <v>2.4</v>
          </cell>
        </row>
        <row r="164">
          <cell r="A164" t="str">
            <v>Dareke Young</v>
          </cell>
          <cell r="B164">
            <v>6.8</v>
          </cell>
        </row>
        <row r="165">
          <cell r="A165" t="str">
            <v>Xavier Smith</v>
          </cell>
          <cell r="B165">
            <v>15.5</v>
          </cell>
        </row>
        <row r="166">
          <cell r="A166" t="str">
            <v>Dalevon Campbell</v>
          </cell>
          <cell r="B166">
            <v>0</v>
          </cell>
        </row>
        <row r="167">
          <cell r="A167" t="str">
            <v>Luke McCaffrey</v>
          </cell>
          <cell r="B167">
            <v>49.3</v>
          </cell>
        </row>
        <row r="168">
          <cell r="A168" t="str">
            <v>Jordan Whittington</v>
          </cell>
          <cell r="B168">
            <v>27.2</v>
          </cell>
        </row>
        <row r="169">
          <cell r="A169" t="str">
            <v>Michael Bandy</v>
          </cell>
          <cell r="B169">
            <v>2.6</v>
          </cell>
        </row>
        <row r="170">
          <cell r="A170" t="str">
            <v>Chris Olave</v>
          </cell>
          <cell r="B170">
            <v>150.1</v>
          </cell>
        </row>
        <row r="171">
          <cell r="A171" t="str">
            <v>Jalen Nailor</v>
          </cell>
          <cell r="B171">
            <v>65.3</v>
          </cell>
        </row>
        <row r="172">
          <cell r="A172" t="str">
            <v>Khalil Shakir</v>
          </cell>
          <cell r="B172">
            <v>128.9</v>
          </cell>
        </row>
        <row r="173">
          <cell r="A173" t="str">
            <v>Shedrick Jackson</v>
          </cell>
          <cell r="B173">
            <v>0</v>
          </cell>
        </row>
        <row r="174">
          <cell r="A174" t="str">
            <v>Jayden Reed</v>
          </cell>
          <cell r="B174">
            <v>13.5</v>
          </cell>
        </row>
        <row r="175">
          <cell r="A175" t="str">
            <v>Justin Watson</v>
          </cell>
          <cell r="B175">
            <v>6</v>
          </cell>
        </row>
        <row r="176">
          <cell r="A176" t="str">
            <v>Malachi Corley</v>
          </cell>
          <cell r="B176">
            <v>14</v>
          </cell>
        </row>
        <row r="177">
          <cell r="A177" t="str">
            <v>Nick Westbrook-Ikhine</v>
          </cell>
          <cell r="B177">
            <v>19.899999999999999</v>
          </cell>
        </row>
        <row r="178">
          <cell r="A178" t="str">
            <v>Marquez Valdes-Scantling</v>
          </cell>
          <cell r="B178">
            <v>8</v>
          </cell>
        </row>
        <row r="179">
          <cell r="A179" t="str">
            <v>Christian Kirk</v>
          </cell>
          <cell r="B179">
            <v>46.8</v>
          </cell>
        </row>
        <row r="180">
          <cell r="A180" t="str">
            <v>Greg Dortch</v>
          </cell>
          <cell r="B180">
            <v>54.9</v>
          </cell>
        </row>
        <row r="181">
          <cell r="A181" t="str">
            <v>David Moore</v>
          </cell>
          <cell r="B181">
            <v>2.7</v>
          </cell>
        </row>
        <row r="182">
          <cell r="A182" t="str">
            <v>Cooper Kupp</v>
          </cell>
          <cell r="B182">
            <v>74</v>
          </cell>
        </row>
        <row r="183">
          <cell r="A183" t="str">
            <v>Sterling Shepard</v>
          </cell>
          <cell r="B183">
            <v>76.8</v>
          </cell>
        </row>
        <row r="184">
          <cell r="A184" t="str">
            <v>Max Mitchell</v>
          </cell>
          <cell r="B184">
            <v>0</v>
          </cell>
        </row>
        <row r="185">
          <cell r="A185" t="str">
            <v>Jalen Royals</v>
          </cell>
          <cell r="B185">
            <v>0</v>
          </cell>
        </row>
        <row r="186">
          <cell r="A186" t="str">
            <v>Travis Hunter</v>
          </cell>
          <cell r="B186">
            <v>63.8</v>
          </cell>
        </row>
        <row r="187">
          <cell r="A187" t="str">
            <v>Jack Bech</v>
          </cell>
          <cell r="B187">
            <v>17.2</v>
          </cell>
        </row>
        <row r="188">
          <cell r="A188" t="str">
            <v>Pat Bryant</v>
          </cell>
          <cell r="B188">
            <v>44.1</v>
          </cell>
        </row>
        <row r="189">
          <cell r="A189" t="str">
            <v>Jimmy Horn Jr</v>
          </cell>
          <cell r="B189">
            <v>17</v>
          </cell>
        </row>
        <row r="190">
          <cell r="A190" t="str">
            <v>Jalen Coker</v>
          </cell>
          <cell r="B190">
            <v>22.8</v>
          </cell>
        </row>
        <row r="191">
          <cell r="A191" t="str">
            <v>Chimere Dike</v>
          </cell>
          <cell r="B191">
            <v>51.5</v>
          </cell>
        </row>
        <row r="192">
          <cell r="A192" t="str">
            <v>Ladd McConkey</v>
          </cell>
          <cell r="B192">
            <v>142.4</v>
          </cell>
        </row>
        <row r="193">
          <cell r="A193" t="str">
            <v>LaJohntay Wester</v>
          </cell>
          <cell r="B193">
            <v>0</v>
          </cell>
        </row>
        <row r="194">
          <cell r="A194" t="str">
            <v>Savion Williams</v>
          </cell>
          <cell r="B194">
            <v>26.6</v>
          </cell>
        </row>
        <row r="195">
          <cell r="A195" t="str">
            <v>Josh Downs</v>
          </cell>
          <cell r="B195">
            <v>85.6</v>
          </cell>
        </row>
        <row r="196">
          <cell r="A196" t="str">
            <v>Andrei Iosivas</v>
          </cell>
          <cell r="B196">
            <v>51.5</v>
          </cell>
        </row>
        <row r="197">
          <cell r="A197" t="str">
            <v>Demario Douglas</v>
          </cell>
          <cell r="B197">
            <v>74.400000000000006</v>
          </cell>
        </row>
        <row r="198">
          <cell r="A198" t="str">
            <v>Xavier Gipson</v>
          </cell>
          <cell r="B198">
            <v>1.3</v>
          </cell>
        </row>
        <row r="199">
          <cell r="A199" t="str">
            <v>Dontayvion Wicks</v>
          </cell>
          <cell r="B199">
            <v>36.1</v>
          </cell>
        </row>
        <row r="200">
          <cell r="A200" t="str">
            <v>John Metchie III</v>
          </cell>
          <cell r="B200">
            <v>19.899999999999999</v>
          </cell>
        </row>
        <row r="201">
          <cell r="A201" t="str">
            <v>Isaiah Williams</v>
          </cell>
          <cell r="B201">
            <v>11.6</v>
          </cell>
        </row>
        <row r="202">
          <cell r="A202" t="str">
            <v>Anthony Gould</v>
          </cell>
          <cell r="B202">
            <v>1.3</v>
          </cell>
        </row>
        <row r="203">
          <cell r="A203" t="str">
            <v>Ashton Dulin</v>
          </cell>
          <cell r="B203">
            <v>14.2</v>
          </cell>
        </row>
        <row r="204">
          <cell r="A204" t="str">
            <v>Calvin Austin III</v>
          </cell>
          <cell r="B204">
            <v>58.2</v>
          </cell>
        </row>
        <row r="205">
          <cell r="A205" t="str">
            <v>DeVonta Smith</v>
          </cell>
          <cell r="B205">
            <v>133.5</v>
          </cell>
        </row>
        <row r="206">
          <cell r="A206" t="str">
            <v>Deebo Samuel</v>
          </cell>
          <cell r="B206">
            <v>141.19999999999999</v>
          </cell>
        </row>
        <row r="207">
          <cell r="A207" t="str">
            <v>Braxton Berrios</v>
          </cell>
          <cell r="B207">
            <v>9.6999999999999993</v>
          </cell>
        </row>
        <row r="208">
          <cell r="A208" t="str">
            <v>Parris Campbell</v>
          </cell>
          <cell r="B208">
            <v>0</v>
          </cell>
        </row>
        <row r="209">
          <cell r="A209" t="str">
            <v>KaVontae Turpin</v>
          </cell>
          <cell r="B209">
            <v>43</v>
          </cell>
        </row>
        <row r="210">
          <cell r="A210" t="str">
            <v>Hunter Renfrow</v>
          </cell>
          <cell r="B210">
            <v>35.9</v>
          </cell>
        </row>
        <row r="211">
          <cell r="A211" t="str">
            <v>Russell Gage</v>
          </cell>
          <cell r="B211">
            <v>0</v>
          </cell>
        </row>
        <row r="212">
          <cell r="A212" t="str">
            <v>Kalif Raymond</v>
          </cell>
          <cell r="B212">
            <v>26.2</v>
          </cell>
        </row>
        <row r="213">
          <cell r="A213" t="str">
            <v>Stefon Diggs</v>
          </cell>
          <cell r="B213">
            <v>142.9</v>
          </cell>
        </row>
        <row r="214">
          <cell r="A214" t="str">
            <v>Tyler Lockett</v>
          </cell>
          <cell r="B214">
            <v>32.700000000000003</v>
          </cell>
        </row>
        <row r="215">
          <cell r="A215" t="str">
            <v>Adam Thielen</v>
          </cell>
          <cell r="B215">
            <v>14.9</v>
          </cell>
        </row>
        <row r="216">
          <cell r="A216" t="str">
            <v>Kameron Johnson</v>
          </cell>
          <cell r="B216">
            <v>17.7</v>
          </cell>
        </row>
        <row r="217">
          <cell r="A217" t="str">
            <v>Jacoby Jones</v>
          </cell>
          <cell r="B217">
            <v>3.5</v>
          </cell>
        </row>
        <row r="218">
          <cell r="A218" t="str">
            <v>Elic Ayomanor</v>
          </cell>
          <cell r="B218">
            <v>73.400000000000006</v>
          </cell>
        </row>
        <row r="219">
          <cell r="A219" t="str">
            <v>Matthew Golden</v>
          </cell>
          <cell r="B219">
            <v>57.1</v>
          </cell>
        </row>
        <row r="220">
          <cell r="A220" t="str">
            <v>Kaden Davis</v>
          </cell>
          <cell r="B220">
            <v>0</v>
          </cell>
        </row>
        <row r="221">
          <cell r="A221" t="str">
            <v>Jayden Higgins</v>
          </cell>
          <cell r="B221">
            <v>80.400000000000006</v>
          </cell>
        </row>
        <row r="222">
          <cell r="A222" t="str">
            <v>Dominic Lovett</v>
          </cell>
          <cell r="B222">
            <v>0</v>
          </cell>
        </row>
        <row r="223">
          <cell r="A223" t="str">
            <v>Brian Thomas Jr</v>
          </cell>
          <cell r="B223">
            <v>85.6</v>
          </cell>
        </row>
        <row r="224">
          <cell r="A224" t="str">
            <v>Malik Nabers</v>
          </cell>
          <cell r="B224">
            <v>57.1</v>
          </cell>
        </row>
        <row r="225">
          <cell r="A225" t="str">
            <v>Adonai Mitchell</v>
          </cell>
          <cell r="B225">
            <v>26.2</v>
          </cell>
        </row>
        <row r="226">
          <cell r="A226" t="str">
            <v>Troy Franklin</v>
          </cell>
          <cell r="B226">
            <v>127.8</v>
          </cell>
        </row>
        <row r="227">
          <cell r="A227" t="str">
            <v>Marvin Harrison Jr</v>
          </cell>
          <cell r="B227">
            <v>110.5</v>
          </cell>
        </row>
        <row r="228">
          <cell r="A228" t="str">
            <v>Beaux Collins</v>
          </cell>
          <cell r="B228">
            <v>4.5</v>
          </cell>
        </row>
        <row r="229">
          <cell r="A229" t="str">
            <v>Efton Chism III</v>
          </cell>
          <cell r="B229">
            <v>0</v>
          </cell>
        </row>
        <row r="230">
          <cell r="A230" t="str">
            <v>Darius Cooper</v>
          </cell>
          <cell r="B230">
            <v>0</v>
          </cell>
        </row>
        <row r="231">
          <cell r="A231" t="str">
            <v>Parker Washington</v>
          </cell>
          <cell r="B231">
            <v>77.5</v>
          </cell>
        </row>
        <row r="232">
          <cell r="A232" t="str">
            <v>KeAndre Lambert-Smith</v>
          </cell>
          <cell r="B232">
            <v>1.1000000000000001</v>
          </cell>
        </row>
        <row r="233">
          <cell r="A233" t="str">
            <v>Ricky White</v>
          </cell>
          <cell r="B233">
            <v>0</v>
          </cell>
        </row>
        <row r="234">
          <cell r="A234" t="str">
            <v>Roman Wilson</v>
          </cell>
          <cell r="B234">
            <v>40.6</v>
          </cell>
        </row>
        <row r="235">
          <cell r="A235" t="str">
            <v>Arian Smith</v>
          </cell>
          <cell r="B235">
            <v>11</v>
          </cell>
        </row>
        <row r="236">
          <cell r="A236" t="str">
            <v>Tez Johnson</v>
          </cell>
          <cell r="B236">
            <v>70.599999999999994</v>
          </cell>
        </row>
        <row r="237">
          <cell r="A237" t="str">
            <v>Mitchell Tinsley</v>
          </cell>
          <cell r="B237">
            <v>13.9</v>
          </cell>
        </row>
        <row r="238">
          <cell r="A238" t="str">
            <v>Ke'Shawn Williams</v>
          </cell>
          <cell r="B238">
            <v>0</v>
          </cell>
        </row>
        <row r="239">
          <cell r="A239" t="str">
            <v>Myles Price</v>
          </cell>
          <cell r="B239">
            <v>0</v>
          </cell>
        </row>
        <row r="240">
          <cell r="A240" t="str">
            <v>Xavier Hutchinson</v>
          </cell>
          <cell r="B240">
            <v>69.8</v>
          </cell>
        </row>
        <row r="241">
          <cell r="A241" t="str">
            <v>Jaylin Lane</v>
          </cell>
          <cell r="B241">
            <v>39.200000000000003</v>
          </cell>
        </row>
        <row r="242">
          <cell r="A242" t="str">
            <v>Jason Brownlee</v>
          </cell>
          <cell r="B242">
            <v>0</v>
          </cell>
        </row>
        <row r="243">
          <cell r="A243" t="str">
            <v>Tre Tucker</v>
          </cell>
          <cell r="B243">
            <v>121.8</v>
          </cell>
        </row>
        <row r="244">
          <cell r="A244" t="str">
            <v>Ricky Pearsall</v>
          </cell>
          <cell r="B244">
            <v>53.3</v>
          </cell>
        </row>
        <row r="245">
          <cell r="A245" t="str">
            <v>Puka Nacua</v>
          </cell>
          <cell r="B245">
            <v>195.3</v>
          </cell>
        </row>
        <row r="246">
          <cell r="A246" t="str">
            <v>Jared Wayne</v>
          </cell>
          <cell r="B246">
            <v>4</v>
          </cell>
        </row>
        <row r="247">
          <cell r="A247" t="str">
            <v>Rashee Rice</v>
          </cell>
          <cell r="B247">
            <v>77.099999999999994</v>
          </cell>
        </row>
        <row r="248">
          <cell r="A248" t="str">
            <v>Tahj Washington</v>
          </cell>
          <cell r="B248">
            <v>2.1</v>
          </cell>
        </row>
        <row r="249">
          <cell r="A249" t="str">
            <v>Jalen Cropper</v>
          </cell>
          <cell r="B249">
            <v>0</v>
          </cell>
        </row>
        <row r="250">
          <cell r="A250" t="str">
            <v>Zay Flowers</v>
          </cell>
          <cell r="B250">
            <v>132.4</v>
          </cell>
        </row>
        <row r="251">
          <cell r="A251" t="str">
            <v>Skyy Moore</v>
          </cell>
          <cell r="B251">
            <v>10.5</v>
          </cell>
        </row>
        <row r="252">
          <cell r="A252" t="str">
            <v>Malik Washington</v>
          </cell>
          <cell r="B252">
            <v>76.2</v>
          </cell>
        </row>
        <row r="253">
          <cell r="A253" t="str">
            <v>Gunner Olszewski</v>
          </cell>
          <cell r="B253">
            <v>9.4</v>
          </cell>
        </row>
        <row r="254">
          <cell r="A254" t="str">
            <v>Drake London</v>
          </cell>
          <cell r="B254">
            <v>177</v>
          </cell>
        </row>
        <row r="255">
          <cell r="A255" t="str">
            <v>Amon-Ra St Brown</v>
          </cell>
          <cell r="B255">
            <v>188.4</v>
          </cell>
        </row>
        <row r="256">
          <cell r="A256" t="str">
            <v>Brycen Tremayne</v>
          </cell>
          <cell r="B256">
            <v>25.3</v>
          </cell>
        </row>
        <row r="257">
          <cell r="A257" t="str">
            <v>Simi Fehoko</v>
          </cell>
          <cell r="B257">
            <v>0</v>
          </cell>
        </row>
        <row r="258">
          <cell r="A258" t="str">
            <v>Michael Wilson</v>
          </cell>
          <cell r="B258">
            <v>84.6</v>
          </cell>
        </row>
        <row r="259">
          <cell r="A259" t="str">
            <v>Justin Shorter</v>
          </cell>
          <cell r="B259">
            <v>0</v>
          </cell>
        </row>
        <row r="260">
          <cell r="A260" t="str">
            <v>Jahan Dotson</v>
          </cell>
          <cell r="B260">
            <v>35.4</v>
          </cell>
        </row>
        <row r="261">
          <cell r="A261" t="str">
            <v>Kevin Austin Jr</v>
          </cell>
          <cell r="B261">
            <v>0</v>
          </cell>
        </row>
        <row r="262">
          <cell r="A262" t="str">
            <v>Bryce Oliver</v>
          </cell>
          <cell r="B262">
            <v>1.8</v>
          </cell>
        </row>
        <row r="263">
          <cell r="A263" t="str">
            <v>Nikko Remigio</v>
          </cell>
          <cell r="B263">
            <v>4.2</v>
          </cell>
        </row>
        <row r="264">
          <cell r="A264" t="str">
            <v>Ryan Miller</v>
          </cell>
          <cell r="B264">
            <v>11.4</v>
          </cell>
        </row>
        <row r="265">
          <cell r="A265" t="str">
            <v>Alec Pierce</v>
          </cell>
          <cell r="B265">
            <v>92.5</v>
          </cell>
        </row>
        <row r="266">
          <cell r="A266" t="str">
            <v>Rome Odunze</v>
          </cell>
          <cell r="B266">
            <v>135</v>
          </cell>
        </row>
        <row r="267">
          <cell r="A267" t="str">
            <v>Christian Watson</v>
          </cell>
          <cell r="B267">
            <v>47.4</v>
          </cell>
        </row>
        <row r="268">
          <cell r="A268" t="str">
            <v>Rashid Shaheed</v>
          </cell>
          <cell r="B268">
            <v>114.6</v>
          </cell>
        </row>
        <row r="269">
          <cell r="A269" t="str">
            <v>Tim Jones</v>
          </cell>
          <cell r="B269">
            <v>2.5</v>
          </cell>
        </row>
        <row r="270">
          <cell r="A270" t="str">
            <v>Jalen Tolbert</v>
          </cell>
          <cell r="B270">
            <v>37.200000000000003</v>
          </cell>
        </row>
        <row r="271">
          <cell r="A271" t="str">
            <v>Tylan Wallace</v>
          </cell>
          <cell r="B271">
            <v>14.5</v>
          </cell>
        </row>
        <row r="272">
          <cell r="A272" t="str">
            <v>CeeDee Lamb</v>
          </cell>
          <cell r="B272">
            <v>107.9</v>
          </cell>
        </row>
        <row r="273">
          <cell r="A273" t="str">
            <v>Hollywood Brown</v>
          </cell>
          <cell r="B273">
            <v>104.9</v>
          </cell>
        </row>
        <row r="274">
          <cell r="A274" t="str">
            <v>Cody White</v>
          </cell>
          <cell r="B274">
            <v>13</v>
          </cell>
        </row>
        <row r="275">
          <cell r="A275" t="str">
            <v>Justin Jefferson</v>
          </cell>
          <cell r="B275">
            <v>143.1</v>
          </cell>
        </row>
        <row r="276">
          <cell r="A276" t="str">
            <v>Tee Higgins</v>
          </cell>
          <cell r="B276">
            <v>131.4</v>
          </cell>
        </row>
        <row r="277">
          <cell r="A277" t="str">
            <v>Isaiah Hodgins</v>
          </cell>
          <cell r="B277">
            <v>10.7</v>
          </cell>
        </row>
        <row r="278">
          <cell r="A278" t="str">
            <v>AJ Brown</v>
          </cell>
          <cell r="B278">
            <v>101.7</v>
          </cell>
        </row>
        <row r="279">
          <cell r="A279" t="str">
            <v>DJ Moore</v>
          </cell>
          <cell r="B279">
            <v>90.8</v>
          </cell>
        </row>
        <row r="280">
          <cell r="A280" t="str">
            <v>Calvin Ridley</v>
          </cell>
          <cell r="B280">
            <v>47.3</v>
          </cell>
        </row>
        <row r="281">
          <cell r="A281" t="str">
            <v>Cedrick Wilson Jr</v>
          </cell>
          <cell r="B281">
            <v>2.9</v>
          </cell>
        </row>
        <row r="282">
          <cell r="A282" t="str">
            <v>Allen Lazard</v>
          </cell>
          <cell r="B282">
            <v>17.5</v>
          </cell>
        </row>
        <row r="283">
          <cell r="A283" t="str">
            <v>Tyler Johnson</v>
          </cell>
          <cell r="B283">
            <v>34.700000000000003</v>
          </cell>
        </row>
        <row r="284">
          <cell r="A284" t="str">
            <v>Trent Sherfield</v>
          </cell>
          <cell r="B284">
            <v>5.0999999999999996</v>
          </cell>
        </row>
        <row r="285">
          <cell r="A285" t="str">
            <v>Alex Bachman</v>
          </cell>
          <cell r="B285">
            <v>1.9</v>
          </cell>
        </row>
        <row r="286">
          <cell r="A286" t="str">
            <v>Ray-Ray McCloud III</v>
          </cell>
          <cell r="B286">
            <v>13.9</v>
          </cell>
        </row>
        <row r="287">
          <cell r="A287" t="str">
            <v>Scott Miller</v>
          </cell>
          <cell r="B287">
            <v>1.9</v>
          </cell>
        </row>
        <row r="288">
          <cell r="A288" t="str">
            <v>Jakobi Meyers</v>
          </cell>
          <cell r="B288">
            <v>86.7</v>
          </cell>
        </row>
        <row r="289">
          <cell r="A289" t="str">
            <v>Mecole Hardman Jr</v>
          </cell>
          <cell r="B289">
            <v>0</v>
          </cell>
        </row>
        <row r="290">
          <cell r="A290" t="str">
            <v>Lil'Jordan Humphrey</v>
          </cell>
          <cell r="B290">
            <v>9.5</v>
          </cell>
        </row>
        <row r="291">
          <cell r="A291" t="str">
            <v>Devin Duvernay</v>
          </cell>
          <cell r="B291">
            <v>1.2</v>
          </cell>
        </row>
        <row r="292">
          <cell r="A292" t="str">
            <v>Dan Chisena</v>
          </cell>
          <cell r="B292">
            <v>0</v>
          </cell>
        </row>
        <row r="293">
          <cell r="A293" t="str">
            <v>Darius Slayton</v>
          </cell>
          <cell r="B293">
            <v>57.3</v>
          </cell>
        </row>
        <row r="294">
          <cell r="A294" t="str">
            <v>Kendrick Bourne</v>
          </cell>
          <cell r="B294">
            <v>79.2</v>
          </cell>
        </row>
        <row r="295">
          <cell r="A295" t="str">
            <v>Noah Brown</v>
          </cell>
          <cell r="B295">
            <v>6.6</v>
          </cell>
        </row>
        <row r="296">
          <cell r="A296" t="str">
            <v>Mack Hollins</v>
          </cell>
          <cell r="B296">
            <v>81.099999999999994</v>
          </cell>
        </row>
        <row r="297">
          <cell r="A297" t="str">
            <v>Curtis Samuel</v>
          </cell>
          <cell r="B297">
            <v>21.1</v>
          </cell>
        </row>
        <row r="298">
          <cell r="A298" t="str">
            <v>Robbie Chosen</v>
          </cell>
          <cell r="B298">
            <v>10.3</v>
          </cell>
        </row>
        <row r="299">
          <cell r="A299" t="str">
            <v>Tyreek Hill</v>
          </cell>
          <cell r="B299">
            <v>53.5</v>
          </cell>
        </row>
        <row r="300">
          <cell r="A300" t="str">
            <v>Demarcus Robinson</v>
          </cell>
          <cell r="B300">
            <v>27.5</v>
          </cell>
        </row>
        <row r="301">
          <cell r="A301" t="str">
            <v>Brandin Cooks</v>
          </cell>
          <cell r="B301">
            <v>35.5</v>
          </cell>
        </row>
        <row r="302">
          <cell r="A302" t="str">
            <v>Keenan Allen</v>
          </cell>
          <cell r="B302">
            <v>139.19999999999999</v>
          </cell>
        </row>
        <row r="303">
          <cell r="A303" t="str">
            <v>Dylan Sampson</v>
          </cell>
          <cell r="B303">
            <v>47.2</v>
          </cell>
        </row>
        <row r="304">
          <cell r="A304" t="str">
            <v>Omarion Hampton</v>
          </cell>
          <cell r="B304">
            <v>77</v>
          </cell>
        </row>
        <row r="305">
          <cell r="A305" t="str">
            <v>Sione Vaki</v>
          </cell>
          <cell r="B305">
            <v>0.4</v>
          </cell>
        </row>
        <row r="306">
          <cell r="A306" t="str">
            <v>LeQuint Allen</v>
          </cell>
          <cell r="B306">
            <v>17.899999999999999</v>
          </cell>
        </row>
        <row r="307">
          <cell r="A307" t="str">
            <v>Ollie Gordon II</v>
          </cell>
          <cell r="B307">
            <v>43.4</v>
          </cell>
        </row>
        <row r="308">
          <cell r="A308" t="str">
            <v>Trevor Etienne</v>
          </cell>
          <cell r="B308">
            <v>12.3</v>
          </cell>
        </row>
        <row r="309">
          <cell r="A309" t="str">
            <v>Jaydon Blue</v>
          </cell>
          <cell r="B309">
            <v>8</v>
          </cell>
        </row>
        <row r="310">
          <cell r="A310" t="str">
            <v>Ashton Jeanty</v>
          </cell>
          <cell r="B310">
            <v>142.69999999999999</v>
          </cell>
        </row>
        <row r="311">
          <cell r="A311" t="str">
            <v>Quinshon Judkins</v>
          </cell>
          <cell r="B311">
            <v>113</v>
          </cell>
        </row>
        <row r="312">
          <cell r="A312" t="str">
            <v>Kaleb Johnson</v>
          </cell>
          <cell r="B312">
            <v>7.7</v>
          </cell>
        </row>
        <row r="313">
          <cell r="A313" t="str">
            <v>Emanuel Wilson</v>
          </cell>
          <cell r="B313">
            <v>45.9</v>
          </cell>
        </row>
        <row r="314">
          <cell r="A314" t="str">
            <v>Bhayshul Tuten</v>
          </cell>
          <cell r="B314">
            <v>61.9</v>
          </cell>
        </row>
        <row r="315">
          <cell r="A315" t="str">
            <v>Amar Johnson</v>
          </cell>
          <cell r="B315">
            <v>0.8</v>
          </cell>
        </row>
        <row r="316">
          <cell r="A316" t="str">
            <v>Cam Skattebo</v>
          </cell>
          <cell r="B316">
            <v>127.7</v>
          </cell>
        </row>
        <row r="317">
          <cell r="A317" t="str">
            <v>Audric Estime</v>
          </cell>
          <cell r="B317">
            <v>0</v>
          </cell>
        </row>
        <row r="318">
          <cell r="A318" t="str">
            <v>Nate Carter</v>
          </cell>
          <cell r="B318">
            <v>6</v>
          </cell>
        </row>
        <row r="319">
          <cell r="A319" t="str">
            <v>Jaylen Wright</v>
          </cell>
          <cell r="B319">
            <v>5.9</v>
          </cell>
        </row>
        <row r="320">
          <cell r="A320" t="str">
            <v>Raheim Sanders</v>
          </cell>
          <cell r="B320">
            <v>6.3</v>
          </cell>
        </row>
        <row r="321">
          <cell r="A321" t="str">
            <v>Braelon Allen</v>
          </cell>
          <cell r="B321">
            <v>17.3</v>
          </cell>
        </row>
        <row r="322">
          <cell r="A322" t="str">
            <v>TreVeyon Henderson</v>
          </cell>
          <cell r="B322">
            <v>127.7</v>
          </cell>
        </row>
        <row r="323">
          <cell r="A323" t="str">
            <v>Bucky Irving</v>
          </cell>
          <cell r="B323">
            <v>74</v>
          </cell>
        </row>
        <row r="324">
          <cell r="A324" t="str">
            <v>Cooper DeJean</v>
          </cell>
          <cell r="B324">
            <v>0</v>
          </cell>
        </row>
        <row r="325">
          <cell r="A325" t="str">
            <v>DJ Giddens</v>
          </cell>
          <cell r="B325">
            <v>6.6</v>
          </cell>
        </row>
        <row r="326">
          <cell r="A326" t="str">
            <v>Devin Neal</v>
          </cell>
          <cell r="B326">
            <v>13.4</v>
          </cell>
        </row>
        <row r="327">
          <cell r="A327" t="str">
            <v>Will Shipley</v>
          </cell>
          <cell r="B327">
            <v>11.3</v>
          </cell>
        </row>
        <row r="328">
          <cell r="A328" t="str">
            <v>Brashard Smith</v>
          </cell>
          <cell r="B328">
            <v>37.200000000000003</v>
          </cell>
        </row>
        <row r="329">
          <cell r="A329" t="str">
            <v>Jaleel McLaughlin</v>
          </cell>
          <cell r="B329">
            <v>8.4</v>
          </cell>
        </row>
        <row r="330">
          <cell r="A330" t="str">
            <v>Isaiah Davis</v>
          </cell>
          <cell r="B330">
            <v>39.799999999999997</v>
          </cell>
        </row>
        <row r="331">
          <cell r="A331" t="str">
            <v>Trey Benson</v>
          </cell>
          <cell r="B331">
            <v>35.4</v>
          </cell>
        </row>
        <row r="332">
          <cell r="A332" t="str">
            <v>Rachaad White</v>
          </cell>
          <cell r="B332">
            <v>104</v>
          </cell>
        </row>
        <row r="333">
          <cell r="A333" t="str">
            <v>Kyle Monangai</v>
          </cell>
          <cell r="B333">
            <v>79</v>
          </cell>
        </row>
        <row r="334">
          <cell r="A334" t="str">
            <v>Blake Corum</v>
          </cell>
          <cell r="B334">
            <v>43.7</v>
          </cell>
        </row>
        <row r="335">
          <cell r="A335" t="str">
            <v>De'Von Achane</v>
          </cell>
          <cell r="B335">
            <v>235</v>
          </cell>
        </row>
        <row r="336">
          <cell r="A336" t="str">
            <v>Woody Marks</v>
          </cell>
          <cell r="B336">
            <v>101.7</v>
          </cell>
        </row>
        <row r="337">
          <cell r="A337" t="str">
            <v>Kendall Milton</v>
          </cell>
          <cell r="B337">
            <v>0.2</v>
          </cell>
        </row>
        <row r="338">
          <cell r="A338" t="str">
            <v>Tank Bigsby</v>
          </cell>
          <cell r="B338">
            <v>17.7</v>
          </cell>
        </row>
        <row r="339">
          <cell r="A339" t="str">
            <v>Keaton Mitchell</v>
          </cell>
          <cell r="B339">
            <v>19.899999999999999</v>
          </cell>
        </row>
        <row r="340">
          <cell r="A340" t="str">
            <v>Kimani Vidal</v>
          </cell>
          <cell r="B340">
            <v>76.900000000000006</v>
          </cell>
        </row>
        <row r="341">
          <cell r="A341" t="str">
            <v>Tahj Brooks</v>
          </cell>
          <cell r="B341">
            <v>2.2999999999999998</v>
          </cell>
        </row>
        <row r="342">
          <cell r="A342" t="str">
            <v>Bijan Robinson</v>
          </cell>
          <cell r="B342">
            <v>211.9</v>
          </cell>
        </row>
        <row r="343">
          <cell r="A343" t="str">
            <v>Kendre Miller</v>
          </cell>
          <cell r="B343">
            <v>33.299999999999997</v>
          </cell>
        </row>
        <row r="344">
          <cell r="A344" t="str">
            <v>Sean Tucker</v>
          </cell>
          <cell r="B344">
            <v>63.5</v>
          </cell>
        </row>
        <row r="345">
          <cell r="A345" t="str">
            <v>Jahmyr Gibbs</v>
          </cell>
          <cell r="B345">
            <v>203.6</v>
          </cell>
        </row>
        <row r="346">
          <cell r="A346" t="str">
            <v>Rasheen Ali</v>
          </cell>
          <cell r="B346">
            <v>3</v>
          </cell>
        </row>
        <row r="347">
          <cell r="A347" t="str">
            <v>Julius Chestnut</v>
          </cell>
          <cell r="B347">
            <v>3.6</v>
          </cell>
        </row>
        <row r="348">
          <cell r="A348" t="str">
            <v>Terrell Jennings</v>
          </cell>
          <cell r="B348">
            <v>15.2</v>
          </cell>
        </row>
        <row r="349">
          <cell r="A349" t="str">
            <v>Jacory Croskey-Merritt</v>
          </cell>
          <cell r="B349">
            <v>89.6</v>
          </cell>
        </row>
        <row r="350">
          <cell r="A350" t="str">
            <v>Tyler Goodson</v>
          </cell>
          <cell r="B350">
            <v>4</v>
          </cell>
        </row>
        <row r="351">
          <cell r="A351" t="str">
            <v>Ray Davis</v>
          </cell>
          <cell r="B351">
            <v>16.2</v>
          </cell>
        </row>
        <row r="352">
          <cell r="A352" t="str">
            <v>RJ Harvey</v>
          </cell>
          <cell r="B352">
            <v>107.9</v>
          </cell>
        </row>
        <row r="353">
          <cell r="A353" t="str">
            <v>Roschon Johnson</v>
          </cell>
          <cell r="B353">
            <v>1.7</v>
          </cell>
        </row>
        <row r="354">
          <cell r="A354" t="str">
            <v>Jacardia Wright</v>
          </cell>
          <cell r="B354">
            <v>2</v>
          </cell>
        </row>
        <row r="355">
          <cell r="A355" t="str">
            <v>Josh Williams</v>
          </cell>
          <cell r="B355">
            <v>1.1000000000000001</v>
          </cell>
        </row>
        <row r="356">
          <cell r="A356" t="str">
            <v>Jaylen Warren</v>
          </cell>
          <cell r="B356">
            <v>118.5</v>
          </cell>
        </row>
        <row r="357">
          <cell r="A357" t="str">
            <v>Rhamondre Stevenson</v>
          </cell>
          <cell r="B357">
            <v>78.8</v>
          </cell>
        </row>
        <row r="358">
          <cell r="A358" t="str">
            <v>Breece Hall</v>
          </cell>
          <cell r="B358">
            <v>136.80000000000001</v>
          </cell>
        </row>
        <row r="359">
          <cell r="A359" t="str">
            <v>Zach Charbonnet</v>
          </cell>
          <cell r="B359">
            <v>86.7</v>
          </cell>
        </row>
        <row r="360">
          <cell r="A360" t="str">
            <v>Bam Knight</v>
          </cell>
          <cell r="B360">
            <v>56.7</v>
          </cell>
        </row>
        <row r="361">
          <cell r="A361" t="str">
            <v>Ulysses Bentley IV</v>
          </cell>
          <cell r="B361">
            <v>0</v>
          </cell>
        </row>
        <row r="362">
          <cell r="A362" t="str">
            <v>Kenneth Walker III</v>
          </cell>
          <cell r="B362">
            <v>111.3</v>
          </cell>
        </row>
        <row r="363">
          <cell r="A363" t="str">
            <v>Tyjae Spears</v>
          </cell>
          <cell r="B363">
            <v>52.2</v>
          </cell>
        </row>
        <row r="364">
          <cell r="A364" t="str">
            <v>Kyren Williams</v>
          </cell>
          <cell r="B364">
            <v>170.2</v>
          </cell>
        </row>
        <row r="365">
          <cell r="A365" t="str">
            <v>Craig Reynolds</v>
          </cell>
          <cell r="B365">
            <v>0.4</v>
          </cell>
        </row>
        <row r="366">
          <cell r="A366" t="str">
            <v>Dylan Laube</v>
          </cell>
          <cell r="B366">
            <v>5.3</v>
          </cell>
        </row>
        <row r="367">
          <cell r="A367" t="str">
            <v>Jacob Saylors</v>
          </cell>
          <cell r="B367">
            <v>1.1000000000000001</v>
          </cell>
        </row>
        <row r="368">
          <cell r="A368" t="str">
            <v>Tyrone Tracy</v>
          </cell>
          <cell r="B368">
            <v>71.400000000000006</v>
          </cell>
        </row>
        <row r="369">
          <cell r="A369" t="str">
            <v>Isiah Pacheco</v>
          </cell>
          <cell r="B369">
            <v>60.2</v>
          </cell>
        </row>
        <row r="370">
          <cell r="A370" t="str">
            <v>Tyler Badie</v>
          </cell>
          <cell r="B370">
            <v>20.6</v>
          </cell>
        </row>
        <row r="371">
          <cell r="A371" t="str">
            <v>Hassan Haskins</v>
          </cell>
          <cell r="B371">
            <v>8.3000000000000007</v>
          </cell>
        </row>
        <row r="372">
          <cell r="A372" t="str">
            <v>Chris Rodriguez</v>
          </cell>
          <cell r="B372">
            <v>47.5</v>
          </cell>
        </row>
        <row r="373">
          <cell r="A373" t="str">
            <v>James Cook</v>
          </cell>
          <cell r="B373">
            <v>206.7</v>
          </cell>
        </row>
        <row r="374">
          <cell r="A374" t="str">
            <v>Zamir White</v>
          </cell>
          <cell r="B374">
            <v>7.4</v>
          </cell>
        </row>
        <row r="375">
          <cell r="A375" t="str">
            <v>Dameon Pierce</v>
          </cell>
          <cell r="B375">
            <v>2.6</v>
          </cell>
        </row>
        <row r="376">
          <cell r="A376" t="str">
            <v>Chris Brooks</v>
          </cell>
          <cell r="B376">
            <v>13.4</v>
          </cell>
        </row>
        <row r="377">
          <cell r="A377" t="str">
            <v>Tyler Allgeier</v>
          </cell>
          <cell r="B377">
            <v>79.599999999999994</v>
          </cell>
        </row>
        <row r="378">
          <cell r="A378" t="str">
            <v>Jerome Ford</v>
          </cell>
          <cell r="B378">
            <v>36.200000000000003</v>
          </cell>
        </row>
        <row r="379">
          <cell r="A379" t="str">
            <v>Antonio Gibson</v>
          </cell>
          <cell r="B379">
            <v>19.2</v>
          </cell>
        </row>
        <row r="380">
          <cell r="A380" t="str">
            <v>Javonte Williams</v>
          </cell>
          <cell r="B380">
            <v>170.2</v>
          </cell>
        </row>
        <row r="381">
          <cell r="A381" t="str">
            <v>Chase Brown</v>
          </cell>
          <cell r="B381">
            <v>131.80000000000001</v>
          </cell>
        </row>
        <row r="382">
          <cell r="A382" t="str">
            <v>Emari Demercado</v>
          </cell>
          <cell r="B382">
            <v>44.5</v>
          </cell>
        </row>
        <row r="383">
          <cell r="A383" t="str">
            <v>Jaret Patterson</v>
          </cell>
          <cell r="B383">
            <v>7.5</v>
          </cell>
        </row>
        <row r="384">
          <cell r="A384" t="str">
            <v>Kenneth Gainwell</v>
          </cell>
          <cell r="B384">
            <v>110.8</v>
          </cell>
        </row>
        <row r="385">
          <cell r="A385" t="str">
            <v>George Holani</v>
          </cell>
          <cell r="B385">
            <v>16.8</v>
          </cell>
        </row>
        <row r="386">
          <cell r="A386" t="str">
            <v>Jordan Mason</v>
          </cell>
          <cell r="B386">
            <v>95.3</v>
          </cell>
        </row>
        <row r="387">
          <cell r="A387" t="str">
            <v>Jonathan Taylor</v>
          </cell>
          <cell r="B387">
            <v>271.89999999999998</v>
          </cell>
        </row>
        <row r="388">
          <cell r="A388" t="str">
            <v>Owen Wright</v>
          </cell>
          <cell r="B388">
            <v>0</v>
          </cell>
        </row>
        <row r="389">
          <cell r="A389" t="str">
            <v>Chuba Hubbard</v>
          </cell>
          <cell r="B389">
            <v>81</v>
          </cell>
        </row>
        <row r="390">
          <cell r="A390" t="str">
            <v>Trey Sermon</v>
          </cell>
          <cell r="B390">
            <v>0</v>
          </cell>
        </row>
        <row r="391">
          <cell r="A391" t="str">
            <v>JK Dobbins</v>
          </cell>
          <cell r="B391">
            <v>115.9</v>
          </cell>
        </row>
        <row r="392">
          <cell r="A392" t="str">
            <v>Michael Carter</v>
          </cell>
          <cell r="B392">
            <v>40.6</v>
          </cell>
        </row>
        <row r="393">
          <cell r="A393" t="str">
            <v>Clyde Edwards-Helaire</v>
          </cell>
          <cell r="B393">
            <v>0.5</v>
          </cell>
        </row>
        <row r="394">
          <cell r="A394" t="str">
            <v>Elijah Mitchell</v>
          </cell>
          <cell r="B394">
            <v>0</v>
          </cell>
        </row>
        <row r="395">
          <cell r="A395" t="str">
            <v>D'Andre Swift</v>
          </cell>
          <cell r="B395">
            <v>137.4</v>
          </cell>
        </row>
        <row r="396">
          <cell r="A396" t="str">
            <v>Ronnie Rivers</v>
          </cell>
          <cell r="B396">
            <v>0</v>
          </cell>
        </row>
        <row r="397">
          <cell r="A397" t="str">
            <v>Cam Akers</v>
          </cell>
          <cell r="B397">
            <v>1.9</v>
          </cell>
        </row>
        <row r="398">
          <cell r="A398" t="str">
            <v>Malik Davis</v>
          </cell>
          <cell r="B398">
            <v>2.6</v>
          </cell>
        </row>
        <row r="399">
          <cell r="A399" t="str">
            <v>Travis Etienne Jr</v>
          </cell>
          <cell r="B399">
            <v>142.9</v>
          </cell>
        </row>
        <row r="400">
          <cell r="A400" t="str">
            <v>AJ Dillon</v>
          </cell>
          <cell r="B400">
            <v>9.8000000000000007</v>
          </cell>
        </row>
        <row r="401">
          <cell r="A401" t="str">
            <v>Najee Harris</v>
          </cell>
          <cell r="B401">
            <v>11.6</v>
          </cell>
        </row>
        <row r="402">
          <cell r="A402" t="str">
            <v>Brian Robinson</v>
          </cell>
          <cell r="B402">
            <v>45.7</v>
          </cell>
        </row>
        <row r="403">
          <cell r="A403" t="str">
            <v>DeeJay Dallas</v>
          </cell>
          <cell r="B403">
            <v>0</v>
          </cell>
        </row>
        <row r="404">
          <cell r="A404" t="str">
            <v>Zavier Scott</v>
          </cell>
          <cell r="B404">
            <v>30.2</v>
          </cell>
        </row>
        <row r="405">
          <cell r="A405" t="str">
            <v>Nyheim Hines</v>
          </cell>
          <cell r="B405">
            <v>-0.2</v>
          </cell>
        </row>
        <row r="406">
          <cell r="A406" t="str">
            <v>Josh Jacobs</v>
          </cell>
          <cell r="B406">
            <v>182.5</v>
          </cell>
        </row>
        <row r="407">
          <cell r="A407" t="str">
            <v>Justice Hill</v>
          </cell>
          <cell r="B407">
            <v>65.2</v>
          </cell>
        </row>
        <row r="408">
          <cell r="A408" t="str">
            <v>Travis Homer</v>
          </cell>
          <cell r="B408">
            <v>-0.2</v>
          </cell>
        </row>
        <row r="409">
          <cell r="A409" t="str">
            <v>Saquon Barkley</v>
          </cell>
          <cell r="B409">
            <v>150.9</v>
          </cell>
        </row>
        <row r="410">
          <cell r="A410" t="str">
            <v>Nick Chubb</v>
          </cell>
          <cell r="B410">
            <v>73.3</v>
          </cell>
        </row>
        <row r="411">
          <cell r="A411" t="str">
            <v>Trayveon Williams</v>
          </cell>
          <cell r="B411">
            <v>0.9</v>
          </cell>
        </row>
        <row r="412">
          <cell r="A412" t="str">
            <v>Ty Johnson</v>
          </cell>
          <cell r="B412">
            <v>48.1</v>
          </cell>
        </row>
        <row r="413">
          <cell r="A413" t="str">
            <v>D'Ernest Johnson</v>
          </cell>
          <cell r="B413">
            <v>0.7</v>
          </cell>
        </row>
        <row r="414">
          <cell r="A414" t="str">
            <v>David Montgomery</v>
          </cell>
          <cell r="B414">
            <v>105.9</v>
          </cell>
        </row>
        <row r="415">
          <cell r="A415" t="str">
            <v>Rico Dowdle</v>
          </cell>
          <cell r="B415">
            <v>162</v>
          </cell>
        </row>
        <row r="416">
          <cell r="A416" t="str">
            <v>Velus Jones Jr</v>
          </cell>
          <cell r="B416">
            <v>0</v>
          </cell>
        </row>
        <row r="417">
          <cell r="A417" t="str">
            <v>Miles Sanders</v>
          </cell>
          <cell r="B417">
            <v>28.7</v>
          </cell>
        </row>
        <row r="418">
          <cell r="A418" t="str">
            <v>Kene Nwangwu</v>
          </cell>
          <cell r="B418">
            <v>0</v>
          </cell>
        </row>
        <row r="419">
          <cell r="A419" t="str">
            <v>Devin Singletary</v>
          </cell>
          <cell r="B419">
            <v>49.3</v>
          </cell>
        </row>
        <row r="420">
          <cell r="A420" t="str">
            <v>Brittain Brown</v>
          </cell>
          <cell r="B420">
            <v>9.6999999999999993</v>
          </cell>
        </row>
        <row r="421">
          <cell r="A421" t="str">
            <v>Jeff Wilson Jr</v>
          </cell>
          <cell r="B421">
            <v>0</v>
          </cell>
        </row>
        <row r="422">
          <cell r="A422" t="str">
            <v>Tony Pollard</v>
          </cell>
          <cell r="B422">
            <v>98.9</v>
          </cell>
        </row>
        <row r="423">
          <cell r="A423" t="str">
            <v>Dare Ogunbowale</v>
          </cell>
          <cell r="B423">
            <v>10.4</v>
          </cell>
        </row>
        <row r="424">
          <cell r="A424" t="str">
            <v>Austin Ekeler</v>
          </cell>
          <cell r="B424">
            <v>13.1</v>
          </cell>
        </row>
        <row r="425">
          <cell r="A425" t="str">
            <v>Aaron Jones</v>
          </cell>
          <cell r="B425">
            <v>61.8</v>
          </cell>
        </row>
        <row r="426">
          <cell r="A426" t="str">
            <v>Jeremy McNichols</v>
          </cell>
          <cell r="B426">
            <v>54</v>
          </cell>
        </row>
        <row r="427">
          <cell r="A427" t="str">
            <v>Samaje Perine</v>
          </cell>
          <cell r="B427">
            <v>35.799999999999997</v>
          </cell>
        </row>
        <row r="428">
          <cell r="A428" t="str">
            <v>James Conner</v>
          </cell>
          <cell r="B428">
            <v>33.299999999999997</v>
          </cell>
        </row>
        <row r="429">
          <cell r="A429" t="str">
            <v>Kareem Hunt</v>
          </cell>
          <cell r="B429">
            <v>93.9</v>
          </cell>
        </row>
        <row r="430">
          <cell r="A430" t="str">
            <v>Alvin Kamara</v>
          </cell>
          <cell r="B430">
            <v>101.2</v>
          </cell>
        </row>
        <row r="431">
          <cell r="A431" t="str">
            <v>Christian McCaffrey</v>
          </cell>
          <cell r="B431">
            <v>283.89999999999998</v>
          </cell>
        </row>
        <row r="432">
          <cell r="A432" t="str">
            <v>Derrick Henry</v>
          </cell>
          <cell r="B432">
            <v>141.1</v>
          </cell>
        </row>
        <row r="433">
          <cell r="A433" t="str">
            <v>Jalen Ramsey</v>
          </cell>
          <cell r="B433">
            <v>0</v>
          </cell>
        </row>
        <row r="434">
          <cell r="A434" t="str">
            <v>Raheem Mostert</v>
          </cell>
          <cell r="B434">
            <v>19.5</v>
          </cell>
        </row>
        <row r="435">
          <cell r="A435" t="str">
            <v>Ameer Abdullah</v>
          </cell>
          <cell r="B435">
            <v>18</v>
          </cell>
        </row>
        <row r="436">
          <cell r="A436" t="str">
            <v>Robbie Ouzts</v>
          </cell>
          <cell r="B436">
            <v>0</v>
          </cell>
        </row>
        <row r="437">
          <cell r="A437" t="str">
            <v>Adin Huntington</v>
          </cell>
          <cell r="B437">
            <v>0</v>
          </cell>
        </row>
        <row r="438">
          <cell r="A438" t="str">
            <v>Elijah Chatman</v>
          </cell>
          <cell r="B438">
            <v>0</v>
          </cell>
        </row>
        <row r="439">
          <cell r="A439" t="str">
            <v>Hunter Luepke</v>
          </cell>
          <cell r="B439">
            <v>19.899999999999999</v>
          </cell>
        </row>
        <row r="440">
          <cell r="A440" t="str">
            <v>Jack Westover</v>
          </cell>
          <cell r="B440">
            <v>0</v>
          </cell>
        </row>
        <row r="441">
          <cell r="A441" t="str">
            <v>Scott Matlock</v>
          </cell>
          <cell r="B441">
            <v>8.3000000000000007</v>
          </cell>
        </row>
        <row r="442">
          <cell r="A442" t="str">
            <v>British Brooks</v>
          </cell>
          <cell r="B442">
            <v>1.5</v>
          </cell>
        </row>
        <row r="443">
          <cell r="A443" t="str">
            <v>Brady Russell</v>
          </cell>
          <cell r="B443">
            <v>0</v>
          </cell>
        </row>
        <row r="444">
          <cell r="A444" t="str">
            <v>Khyiris Tonga</v>
          </cell>
          <cell r="B444">
            <v>0</v>
          </cell>
        </row>
        <row r="445">
          <cell r="A445" t="str">
            <v>Patrick Ricard</v>
          </cell>
          <cell r="B445">
            <v>0.3</v>
          </cell>
        </row>
        <row r="446">
          <cell r="A446" t="str">
            <v>Andrew Beck</v>
          </cell>
          <cell r="B446">
            <v>10.6</v>
          </cell>
        </row>
        <row r="447">
          <cell r="A447" t="str">
            <v>Reggie Gilliam</v>
          </cell>
          <cell r="B447">
            <v>1.2</v>
          </cell>
        </row>
        <row r="448">
          <cell r="A448" t="str">
            <v>Adam Prentice</v>
          </cell>
          <cell r="B448">
            <v>7.8</v>
          </cell>
        </row>
        <row r="449">
          <cell r="A449" t="str">
            <v>Alec Ingold</v>
          </cell>
          <cell r="B449">
            <v>9.5</v>
          </cell>
        </row>
        <row r="450">
          <cell r="A450" t="str">
            <v>Jakob Johnson</v>
          </cell>
          <cell r="B450">
            <v>0</v>
          </cell>
        </row>
        <row r="451">
          <cell r="A451" t="str">
            <v>CJ Ham</v>
          </cell>
          <cell r="B451">
            <v>1.5</v>
          </cell>
        </row>
        <row r="452">
          <cell r="A452" t="str">
            <v>Kyle Juszczyk</v>
          </cell>
          <cell r="B452">
            <v>39.700000000000003</v>
          </cell>
        </row>
        <row r="453">
          <cell r="A453" t="str">
            <v>Carter Runyon</v>
          </cell>
          <cell r="B453">
            <v>1.3</v>
          </cell>
        </row>
        <row r="454">
          <cell r="A454" t="str">
            <v>Harold Fannin Jr</v>
          </cell>
          <cell r="B454">
            <v>98.8</v>
          </cell>
        </row>
        <row r="455">
          <cell r="A455" t="str">
            <v>Mason Taylor</v>
          </cell>
          <cell r="B455">
            <v>67.599999999999994</v>
          </cell>
        </row>
        <row r="456">
          <cell r="A456" t="str">
            <v>Brock Bowers</v>
          </cell>
          <cell r="B456">
            <v>102.7</v>
          </cell>
        </row>
        <row r="457">
          <cell r="A457" t="str">
            <v>Moliki Matavao</v>
          </cell>
          <cell r="B457">
            <v>0</v>
          </cell>
        </row>
        <row r="458">
          <cell r="A458" t="str">
            <v>Elijah Arroyo</v>
          </cell>
          <cell r="B458">
            <v>37.4</v>
          </cell>
        </row>
        <row r="459">
          <cell r="A459" t="str">
            <v>Shane Zylstra</v>
          </cell>
          <cell r="B459">
            <v>0</v>
          </cell>
        </row>
        <row r="460">
          <cell r="A460" t="str">
            <v>Tyler Warren</v>
          </cell>
          <cell r="B460">
            <v>136.30000000000001</v>
          </cell>
        </row>
        <row r="461">
          <cell r="A461" t="str">
            <v>Tip Reiman</v>
          </cell>
          <cell r="B461">
            <v>4.8</v>
          </cell>
        </row>
        <row r="462">
          <cell r="A462" t="str">
            <v>Darnell Washington</v>
          </cell>
          <cell r="B462">
            <v>44.9</v>
          </cell>
        </row>
        <row r="463">
          <cell r="A463" t="str">
            <v>Jackson Hawes</v>
          </cell>
          <cell r="B463">
            <v>35.9</v>
          </cell>
        </row>
        <row r="464">
          <cell r="A464" t="str">
            <v>Sam LaPorta</v>
          </cell>
          <cell r="B464">
            <v>106.9</v>
          </cell>
        </row>
        <row r="465">
          <cell r="A465" t="str">
            <v>Hayden Rucci</v>
          </cell>
          <cell r="B465">
            <v>0</v>
          </cell>
        </row>
        <row r="466">
          <cell r="A466" t="str">
            <v>Davis Allen</v>
          </cell>
          <cell r="B466">
            <v>41.4</v>
          </cell>
        </row>
        <row r="467">
          <cell r="A467" t="str">
            <v>Stephen Carlson</v>
          </cell>
          <cell r="B467">
            <v>0</v>
          </cell>
        </row>
        <row r="468">
          <cell r="A468" t="str">
            <v>Devin Culp</v>
          </cell>
          <cell r="B468">
            <v>0</v>
          </cell>
        </row>
        <row r="469">
          <cell r="A469" t="str">
            <v>Greg Dulcich</v>
          </cell>
          <cell r="B469">
            <v>16.899999999999999</v>
          </cell>
        </row>
        <row r="470">
          <cell r="A470" t="str">
            <v>Daniel Bellinger</v>
          </cell>
          <cell r="B470">
            <v>38.200000000000003</v>
          </cell>
        </row>
        <row r="471">
          <cell r="A471" t="str">
            <v>Payne Durham</v>
          </cell>
          <cell r="B471">
            <v>0</v>
          </cell>
        </row>
        <row r="472">
          <cell r="A472" t="str">
            <v>Jeremy Ruckert</v>
          </cell>
          <cell r="B472">
            <v>31.9</v>
          </cell>
        </row>
        <row r="473">
          <cell r="A473" t="str">
            <v>Tommy Tremble</v>
          </cell>
          <cell r="B473">
            <v>43.4</v>
          </cell>
        </row>
        <row r="474">
          <cell r="A474" t="str">
            <v>Brevyn Spann-Ford</v>
          </cell>
          <cell r="B474">
            <v>5.8</v>
          </cell>
        </row>
        <row r="475">
          <cell r="A475" t="str">
            <v>Chigoziem Okonkwo</v>
          </cell>
          <cell r="B475">
            <v>65.7</v>
          </cell>
        </row>
        <row r="476">
          <cell r="A476" t="str">
            <v>David Martin-Robinson</v>
          </cell>
          <cell r="B476">
            <v>7.1</v>
          </cell>
        </row>
        <row r="477">
          <cell r="A477" t="str">
            <v>James Mitchell</v>
          </cell>
          <cell r="B477">
            <v>5.8</v>
          </cell>
        </row>
        <row r="478">
          <cell r="A478" t="str">
            <v>Blake Whiteheart</v>
          </cell>
          <cell r="B478">
            <v>2.4</v>
          </cell>
        </row>
        <row r="479">
          <cell r="A479" t="str">
            <v>Trey McBride</v>
          </cell>
          <cell r="B479">
            <v>184.8</v>
          </cell>
        </row>
        <row r="480">
          <cell r="A480" t="str">
            <v>Jake Ferguson</v>
          </cell>
          <cell r="B480">
            <v>142</v>
          </cell>
        </row>
        <row r="481">
          <cell r="A481" t="str">
            <v>Travis Vokolek</v>
          </cell>
          <cell r="B481">
            <v>0</v>
          </cell>
        </row>
        <row r="482">
          <cell r="A482" t="str">
            <v>Grant Calcaterra</v>
          </cell>
          <cell r="B482">
            <v>8</v>
          </cell>
        </row>
        <row r="483">
          <cell r="A483" t="str">
            <v>Cole Kmet</v>
          </cell>
          <cell r="B483">
            <v>41.2</v>
          </cell>
        </row>
        <row r="484">
          <cell r="A484" t="str">
            <v>Brenden Bates</v>
          </cell>
          <cell r="B484">
            <v>4.3</v>
          </cell>
        </row>
        <row r="485">
          <cell r="A485" t="str">
            <v>Dallas Goedert</v>
          </cell>
          <cell r="B485">
            <v>113.6</v>
          </cell>
        </row>
        <row r="486">
          <cell r="A486" t="str">
            <v>Tyler Conklin</v>
          </cell>
          <cell r="B486">
            <v>15.7</v>
          </cell>
        </row>
        <row r="487">
          <cell r="A487" t="str">
            <v>Ian Thomas</v>
          </cell>
          <cell r="B487">
            <v>11.3</v>
          </cell>
        </row>
        <row r="488">
          <cell r="A488" t="str">
            <v>Albert Okwuegbunam</v>
          </cell>
          <cell r="B488">
            <v>8.6</v>
          </cell>
        </row>
        <row r="489">
          <cell r="A489" t="str">
            <v>Ko Kieft</v>
          </cell>
          <cell r="B489">
            <v>0</v>
          </cell>
        </row>
        <row r="490">
          <cell r="A490" t="str">
            <v>TJ Hockenson</v>
          </cell>
          <cell r="B490">
            <v>74</v>
          </cell>
        </row>
        <row r="491">
          <cell r="A491" t="str">
            <v>Tanner Conner</v>
          </cell>
          <cell r="B491">
            <v>18.100000000000001</v>
          </cell>
        </row>
        <row r="492">
          <cell r="A492" t="str">
            <v>Jonnu Smith</v>
          </cell>
          <cell r="B492">
            <v>55.3</v>
          </cell>
        </row>
        <row r="493">
          <cell r="A493" t="str">
            <v>David Njoku</v>
          </cell>
          <cell r="B493">
            <v>76.8</v>
          </cell>
        </row>
        <row r="494">
          <cell r="A494" t="str">
            <v>Chris Manhertz</v>
          </cell>
          <cell r="B494">
            <v>1.7</v>
          </cell>
        </row>
        <row r="495">
          <cell r="A495" t="str">
            <v>Colston Loveland</v>
          </cell>
          <cell r="B495">
            <v>68.900000000000006</v>
          </cell>
        </row>
        <row r="496">
          <cell r="A496" t="str">
            <v>Mitchell Evans</v>
          </cell>
          <cell r="B496">
            <v>34.799999999999997</v>
          </cell>
        </row>
        <row r="497">
          <cell r="A497" t="str">
            <v>Terrance Ferguson</v>
          </cell>
          <cell r="B497">
            <v>24.8</v>
          </cell>
        </row>
        <row r="498">
          <cell r="A498" t="str">
            <v>Keleki Latu</v>
          </cell>
          <cell r="B498">
            <v>1.4</v>
          </cell>
        </row>
        <row r="499">
          <cell r="A499" t="str">
            <v>Zaire Mitchell-Paden</v>
          </cell>
          <cell r="B499">
            <v>3.7</v>
          </cell>
        </row>
        <row r="500">
          <cell r="A500" t="str">
            <v>Thomas Fidone II</v>
          </cell>
          <cell r="B500">
            <v>0</v>
          </cell>
        </row>
        <row r="501">
          <cell r="A501" t="str">
            <v>Gunnar Helm</v>
          </cell>
          <cell r="B501">
            <v>51.6</v>
          </cell>
        </row>
        <row r="502">
          <cell r="A502" t="str">
            <v>Ja'Tavion Sanders</v>
          </cell>
          <cell r="B502">
            <v>41</v>
          </cell>
        </row>
        <row r="503">
          <cell r="A503" t="str">
            <v>Oronde Gadsden II</v>
          </cell>
          <cell r="B503">
            <v>99.7</v>
          </cell>
        </row>
        <row r="504">
          <cell r="A504" t="str">
            <v>Andrew Ogletree</v>
          </cell>
          <cell r="B504">
            <v>0</v>
          </cell>
        </row>
        <row r="505">
          <cell r="A505" t="str">
            <v>Cam Grandy</v>
          </cell>
          <cell r="B505">
            <v>1.6</v>
          </cell>
        </row>
        <row r="506">
          <cell r="A506" t="str">
            <v>Benjamin Yurosek</v>
          </cell>
          <cell r="B506">
            <v>1.5</v>
          </cell>
        </row>
        <row r="507">
          <cell r="A507" t="str">
            <v>Theo Johnson</v>
          </cell>
          <cell r="B507">
            <v>101</v>
          </cell>
        </row>
        <row r="508">
          <cell r="A508" t="str">
            <v>AJ Barner</v>
          </cell>
          <cell r="B508">
            <v>92.7</v>
          </cell>
        </row>
        <row r="509">
          <cell r="A509" t="str">
            <v>Michael Mayer</v>
          </cell>
          <cell r="B509">
            <v>43.8</v>
          </cell>
        </row>
        <row r="510">
          <cell r="A510" t="str">
            <v>Ben Sinnott</v>
          </cell>
          <cell r="B510">
            <v>12.3</v>
          </cell>
        </row>
        <row r="511">
          <cell r="A511" t="str">
            <v>EJ Jenkins</v>
          </cell>
          <cell r="B511">
            <v>0</v>
          </cell>
        </row>
        <row r="512">
          <cell r="A512" t="str">
            <v>Adam Trautman</v>
          </cell>
          <cell r="B512">
            <v>26.3</v>
          </cell>
        </row>
        <row r="513">
          <cell r="A513" t="str">
            <v>Tucker Kraft</v>
          </cell>
          <cell r="B513">
            <v>117.2</v>
          </cell>
        </row>
        <row r="514">
          <cell r="A514" t="str">
            <v>Brenton Strange</v>
          </cell>
          <cell r="B514">
            <v>40.4</v>
          </cell>
        </row>
        <row r="515">
          <cell r="A515" t="str">
            <v>Nick Kallerup</v>
          </cell>
          <cell r="B515">
            <v>0</v>
          </cell>
        </row>
        <row r="516">
          <cell r="A516" t="str">
            <v>Cade Stover</v>
          </cell>
          <cell r="B516">
            <v>6.2</v>
          </cell>
        </row>
        <row r="517">
          <cell r="A517" t="str">
            <v>Luke Musgrave</v>
          </cell>
          <cell r="B517">
            <v>24</v>
          </cell>
        </row>
        <row r="518">
          <cell r="A518" t="str">
            <v>Treyton Welch</v>
          </cell>
          <cell r="B518">
            <v>0</v>
          </cell>
        </row>
        <row r="519">
          <cell r="A519" t="str">
            <v>Elijah Higgins</v>
          </cell>
          <cell r="B519">
            <v>32.200000000000003</v>
          </cell>
        </row>
        <row r="520">
          <cell r="A520" t="str">
            <v>Dalton Kincaid</v>
          </cell>
          <cell r="B520">
            <v>97.8</v>
          </cell>
        </row>
        <row r="521">
          <cell r="A521" t="str">
            <v>Julian Hill</v>
          </cell>
          <cell r="B521">
            <v>20.100000000000001</v>
          </cell>
        </row>
        <row r="522">
          <cell r="A522" t="str">
            <v>Nate Adkins</v>
          </cell>
          <cell r="B522">
            <v>16.8</v>
          </cell>
        </row>
        <row r="523">
          <cell r="A523" t="str">
            <v>Pat Freiermuth</v>
          </cell>
          <cell r="B523">
            <v>68.900000000000006</v>
          </cell>
        </row>
        <row r="524">
          <cell r="A524" t="str">
            <v>Teagan Quitoriano</v>
          </cell>
          <cell r="B524">
            <v>0</v>
          </cell>
        </row>
        <row r="525">
          <cell r="A525" t="str">
            <v>Luke Schoonmaker</v>
          </cell>
          <cell r="B525">
            <v>14.3</v>
          </cell>
        </row>
        <row r="526">
          <cell r="A526" t="str">
            <v>John FitzPatrick</v>
          </cell>
          <cell r="B526">
            <v>14.9</v>
          </cell>
        </row>
        <row r="527">
          <cell r="A527" t="str">
            <v>Kyle Pitts</v>
          </cell>
          <cell r="B527">
            <v>96.4</v>
          </cell>
        </row>
        <row r="528">
          <cell r="A528" t="str">
            <v>Lucas Krull</v>
          </cell>
          <cell r="B528">
            <v>3.5</v>
          </cell>
        </row>
        <row r="529">
          <cell r="A529" t="str">
            <v>Isaiah Likely</v>
          </cell>
          <cell r="B529">
            <v>23.8</v>
          </cell>
        </row>
        <row r="530">
          <cell r="A530" t="str">
            <v>Colson Yankoff</v>
          </cell>
          <cell r="B530">
            <v>1.4</v>
          </cell>
        </row>
        <row r="531">
          <cell r="A531" t="str">
            <v>Cameron Latu</v>
          </cell>
          <cell r="B531">
            <v>0</v>
          </cell>
        </row>
        <row r="532">
          <cell r="A532" t="str">
            <v>Ben Sims</v>
          </cell>
          <cell r="B532">
            <v>0</v>
          </cell>
        </row>
        <row r="533">
          <cell r="A533" t="str">
            <v>Brayden Willis</v>
          </cell>
          <cell r="B533">
            <v>0</v>
          </cell>
        </row>
        <row r="534">
          <cell r="A534" t="str">
            <v>Will Mallory</v>
          </cell>
          <cell r="B534">
            <v>0</v>
          </cell>
        </row>
        <row r="535">
          <cell r="A535" t="str">
            <v>Tanner Hudson</v>
          </cell>
          <cell r="B535">
            <v>24.3</v>
          </cell>
        </row>
        <row r="536">
          <cell r="A536" t="str">
            <v>Quintin Morris</v>
          </cell>
          <cell r="B536">
            <v>2.1</v>
          </cell>
        </row>
        <row r="537">
          <cell r="A537" t="str">
            <v>Cade Otton</v>
          </cell>
          <cell r="B537">
            <v>75.099999999999994</v>
          </cell>
        </row>
        <row r="538">
          <cell r="A538" t="str">
            <v>Brock Wright</v>
          </cell>
          <cell r="B538">
            <v>30.9</v>
          </cell>
        </row>
        <row r="539">
          <cell r="A539" t="str">
            <v>Charlie Kolar</v>
          </cell>
          <cell r="B539">
            <v>27.8</v>
          </cell>
        </row>
        <row r="540">
          <cell r="A540" t="str">
            <v>Noah Gray</v>
          </cell>
          <cell r="B540">
            <v>23.7</v>
          </cell>
        </row>
        <row r="541">
          <cell r="A541" t="str">
            <v>Jake Tonges</v>
          </cell>
          <cell r="B541">
            <v>72.599999999999994</v>
          </cell>
        </row>
        <row r="542">
          <cell r="A542" t="str">
            <v>Hunter Long</v>
          </cell>
          <cell r="B542">
            <v>32.5</v>
          </cell>
        </row>
        <row r="543">
          <cell r="A543" t="str">
            <v>Jelani Woods</v>
          </cell>
          <cell r="B543">
            <v>0</v>
          </cell>
        </row>
        <row r="544">
          <cell r="A544" t="str">
            <v>Stone Smartt</v>
          </cell>
          <cell r="B544">
            <v>0</v>
          </cell>
        </row>
        <row r="545">
          <cell r="A545" t="str">
            <v>Connor Heyward</v>
          </cell>
          <cell r="B545">
            <v>10.7</v>
          </cell>
        </row>
        <row r="546">
          <cell r="A546" t="str">
            <v>Josh Whyle</v>
          </cell>
          <cell r="B546">
            <v>7.2</v>
          </cell>
        </row>
        <row r="547">
          <cell r="A547" t="str">
            <v>Tucker Fisk</v>
          </cell>
          <cell r="B547">
            <v>3.9</v>
          </cell>
        </row>
        <row r="548">
          <cell r="A548" t="str">
            <v>Colby Parkinson</v>
          </cell>
          <cell r="B548">
            <v>39.299999999999997</v>
          </cell>
        </row>
        <row r="549">
          <cell r="A549" t="str">
            <v>Mark Andrews</v>
          </cell>
          <cell r="B549">
            <v>99.9</v>
          </cell>
        </row>
        <row r="550">
          <cell r="A550" t="str">
            <v>Dalton Schultz</v>
          </cell>
          <cell r="B550">
            <v>107.7</v>
          </cell>
        </row>
        <row r="551">
          <cell r="A551" t="str">
            <v>Drew Sample</v>
          </cell>
          <cell r="B551">
            <v>13.4</v>
          </cell>
        </row>
        <row r="552">
          <cell r="A552" t="str">
            <v>Durham Smythe</v>
          </cell>
          <cell r="B552">
            <v>1.8</v>
          </cell>
        </row>
        <row r="553">
          <cell r="A553" t="str">
            <v>Mike Gesicki</v>
          </cell>
          <cell r="B553">
            <v>14.1</v>
          </cell>
        </row>
        <row r="554">
          <cell r="A554" t="str">
            <v>Josh Oliver</v>
          </cell>
          <cell r="B554">
            <v>23.8</v>
          </cell>
        </row>
        <row r="555">
          <cell r="A555" t="str">
            <v>Foster Moreau</v>
          </cell>
          <cell r="B555">
            <v>5.5</v>
          </cell>
        </row>
        <row r="556">
          <cell r="A556" t="str">
            <v>Josiah Deguara</v>
          </cell>
          <cell r="B556">
            <v>0</v>
          </cell>
        </row>
        <row r="557">
          <cell r="A557" t="str">
            <v>Noah Fant</v>
          </cell>
          <cell r="B557">
            <v>73.599999999999994</v>
          </cell>
        </row>
        <row r="558">
          <cell r="A558" t="str">
            <v>Luke Farrell</v>
          </cell>
          <cell r="B558">
            <v>30.2</v>
          </cell>
        </row>
        <row r="559">
          <cell r="A559" t="str">
            <v>John Bates</v>
          </cell>
          <cell r="B559">
            <v>12.2</v>
          </cell>
        </row>
        <row r="560">
          <cell r="A560" t="str">
            <v>Charlie Woerner</v>
          </cell>
          <cell r="B560">
            <v>2.9</v>
          </cell>
        </row>
        <row r="561">
          <cell r="A561" t="str">
            <v>Jack Stoll</v>
          </cell>
          <cell r="B561">
            <v>11.8</v>
          </cell>
        </row>
        <row r="562">
          <cell r="A562" t="str">
            <v>Kylen Granson</v>
          </cell>
          <cell r="B562">
            <v>4</v>
          </cell>
        </row>
        <row r="563">
          <cell r="A563" t="str">
            <v>Feleipe Franks</v>
          </cell>
          <cell r="B563">
            <v>0.2</v>
          </cell>
        </row>
        <row r="564">
          <cell r="A564" t="str">
            <v>Dawson Knox</v>
          </cell>
          <cell r="B564">
            <v>41.5</v>
          </cell>
        </row>
        <row r="565">
          <cell r="A565" t="str">
            <v>Will Dissly</v>
          </cell>
          <cell r="B565">
            <v>8.3000000000000007</v>
          </cell>
        </row>
        <row r="566">
          <cell r="A566" t="str">
            <v>Juwan Johnson</v>
          </cell>
          <cell r="B566">
            <v>110.1</v>
          </cell>
        </row>
        <row r="567">
          <cell r="A567" t="str">
            <v>Harrison Bryant</v>
          </cell>
          <cell r="B567">
            <v>2.7</v>
          </cell>
        </row>
        <row r="568">
          <cell r="A568" t="str">
            <v>Ross Dwelley</v>
          </cell>
          <cell r="B568">
            <v>0</v>
          </cell>
        </row>
        <row r="569">
          <cell r="A569" t="str">
            <v>Pharaoh Brown</v>
          </cell>
          <cell r="B569">
            <v>0</v>
          </cell>
        </row>
        <row r="570">
          <cell r="A570" t="str">
            <v>Johnny Mundt</v>
          </cell>
          <cell r="B570">
            <v>15.3</v>
          </cell>
        </row>
        <row r="571">
          <cell r="A571" t="str">
            <v>Robert Tonyan</v>
          </cell>
          <cell r="B571">
            <v>1.1000000000000001</v>
          </cell>
        </row>
        <row r="572">
          <cell r="A572" t="str">
            <v>Taysom Hill</v>
          </cell>
          <cell r="B572">
            <v>16</v>
          </cell>
        </row>
        <row r="573">
          <cell r="A573" t="str">
            <v>Mo Alie-Cox</v>
          </cell>
          <cell r="B573">
            <v>9</v>
          </cell>
        </row>
        <row r="574">
          <cell r="A574" t="str">
            <v>Eric Saubert</v>
          </cell>
          <cell r="B574">
            <v>2.2000000000000002</v>
          </cell>
        </row>
        <row r="575">
          <cell r="A575" t="str">
            <v>George Kittle</v>
          </cell>
          <cell r="B575">
            <v>81.8</v>
          </cell>
        </row>
        <row r="576">
          <cell r="A576" t="str">
            <v>Evan Engram</v>
          </cell>
          <cell r="B576">
            <v>64.7</v>
          </cell>
        </row>
        <row r="577">
          <cell r="A577" t="str">
            <v>Tyler Higbee</v>
          </cell>
          <cell r="B577">
            <v>51</v>
          </cell>
        </row>
        <row r="578">
          <cell r="A578" t="str">
            <v>Nick Vannett</v>
          </cell>
          <cell r="B578">
            <v>0</v>
          </cell>
        </row>
        <row r="579">
          <cell r="A579" t="str">
            <v>Austin Hooper</v>
          </cell>
          <cell r="B579">
            <v>36.4</v>
          </cell>
        </row>
        <row r="580">
          <cell r="A580" t="str">
            <v>Hunter Henry</v>
          </cell>
          <cell r="B580">
            <v>100.2</v>
          </cell>
        </row>
        <row r="581">
          <cell r="A581" t="str">
            <v>Darren Waller</v>
          </cell>
          <cell r="B581">
            <v>45.7</v>
          </cell>
        </row>
        <row r="582">
          <cell r="A582" t="str">
            <v>Travis Kelce</v>
          </cell>
          <cell r="B582">
            <v>137.1</v>
          </cell>
        </row>
        <row r="583">
          <cell r="A583" t="str">
            <v>Zach Ertz</v>
          </cell>
          <cell r="B583">
            <v>101.7</v>
          </cell>
        </row>
        <row r="584">
          <cell r="A584" t="str">
            <v>Marcedes Lewis</v>
          </cell>
          <cell r="B58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1DA5-B46F-D54D-990E-90DC71C9AFA4}">
  <dimension ref="A1:AH209"/>
  <sheetViews>
    <sheetView tabSelected="1" workbookViewId="0"/>
  </sheetViews>
  <sheetFormatPr baseColWidth="10" defaultRowHeight="16" x14ac:dyDescent="0.2"/>
  <cols>
    <col min="3" max="3" width="23.6640625" bestFit="1" customWidth="1"/>
    <col min="4" max="6" width="23.6640625" customWidth="1"/>
    <col min="7" max="11" width="10.83203125" customWidth="1"/>
    <col min="12" max="12" width="11.5" customWidth="1"/>
    <col min="13" max="17" width="12.83203125" customWidth="1"/>
    <col min="18" max="21" width="13.83203125" customWidth="1"/>
    <col min="22" max="26" width="10.83203125" customWidth="1"/>
    <col min="27" max="27" width="15.1640625" customWidth="1"/>
    <col min="28" max="28" width="10.83203125" customWidth="1"/>
    <col min="29" max="29" width="16.5" customWidth="1"/>
    <col min="30" max="30" width="15.6640625" customWidth="1"/>
    <col min="31" max="31" width="13.5" customWidth="1"/>
    <col min="32" max="32" width="13.6640625" customWidth="1"/>
    <col min="33" max="33" width="13.5" customWidth="1"/>
    <col min="34" max="34" width="16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240</v>
      </c>
      <c r="E1" t="s">
        <v>241</v>
      </c>
      <c r="F1" t="s">
        <v>260</v>
      </c>
      <c r="G1" t="s">
        <v>3</v>
      </c>
      <c r="H1" t="s">
        <v>239</v>
      </c>
      <c r="I1" t="s">
        <v>4</v>
      </c>
      <c r="J1" t="s">
        <v>5</v>
      </c>
      <c r="K1" t="s">
        <v>6</v>
      </c>
      <c r="L1" t="s">
        <v>238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265</v>
      </c>
      <c r="W1" t="s">
        <v>266</v>
      </c>
      <c r="X1" t="s">
        <v>267</v>
      </c>
      <c r="Y1" t="s">
        <v>268</v>
      </c>
      <c r="Z1" t="s">
        <v>269</v>
      </c>
      <c r="AA1" t="s">
        <v>270</v>
      </c>
      <c r="AB1" t="s">
        <v>271</v>
      </c>
      <c r="AC1" t="s">
        <v>272</v>
      </c>
      <c r="AD1" t="s">
        <v>273</v>
      </c>
      <c r="AE1" t="s">
        <v>274</v>
      </c>
      <c r="AF1" t="s">
        <v>275</v>
      </c>
      <c r="AG1" t="s">
        <v>276</v>
      </c>
      <c r="AH1" t="s">
        <v>277</v>
      </c>
    </row>
    <row r="2" spans="1:34" x14ac:dyDescent="0.2">
      <c r="A2">
        <v>1</v>
      </c>
      <c r="B2">
        <v>18775</v>
      </c>
      <c r="C2" t="s">
        <v>7</v>
      </c>
      <c r="D2" t="str" cm="1">
        <f t="array" ref="D2:E2">_xlfn.TEXTSPLIT(C2, ", ")</f>
        <v>Chase</v>
      </c>
      <c r="E2" t="str">
        <v>Ja'Marr</v>
      </c>
      <c r="F2" t="str">
        <f>_xlfn.REGEXREPLACE(E2 &amp; " " &amp; D2, "\.", "")</f>
        <v>Ja'Marr Chase</v>
      </c>
      <c r="G2" t="s">
        <v>8</v>
      </c>
      <c r="H2" t="s">
        <v>9</v>
      </c>
      <c r="I2">
        <v>1.1200000000000001</v>
      </c>
      <c r="J2">
        <v>1</v>
      </c>
      <c r="K2">
        <v>4</v>
      </c>
      <c r="L2">
        <f>VLOOKUP(G2,byes!$A:$B,2,FALSE)</f>
        <v>10</v>
      </c>
      <c r="M2">
        <f>IF(L2=5,1,0)</f>
        <v>0</v>
      </c>
      <c r="N2">
        <f>IF(L2=6,1,0)</f>
        <v>0</v>
      </c>
      <c r="O2">
        <f>IF(L2=7,1,0)</f>
        <v>0</v>
      </c>
      <c r="P2">
        <f>IF(L2=8,1,0)</f>
        <v>0</v>
      </c>
      <c r="Q2">
        <f>IF(L2=9,1,0)</f>
        <v>0</v>
      </c>
      <c r="R2">
        <f>IF(L2=10,1,0)</f>
        <v>1</v>
      </c>
      <c r="S2">
        <f>IF(L2=11,1,0)</f>
        <v>0</v>
      </c>
      <c r="T2">
        <f>IF(L2=12,1,0)</f>
        <v>0</v>
      </c>
      <c r="U2">
        <f>IF(L2=14,1,0)</f>
        <v>0</v>
      </c>
      <c r="V2">
        <f>IF(H2="QB", 1, 0)</f>
        <v>0</v>
      </c>
      <c r="W2">
        <f>IF(H2="RB",1,0)</f>
        <v>0</v>
      </c>
      <c r="X2">
        <f>IF(H2="WR",1,0)</f>
        <v>1</v>
      </c>
      <c r="Y2">
        <f>IF(H2="TE",1,0)</f>
        <v>0</v>
      </c>
      <c r="Z2">
        <f>IF(OR(H2="RB",H2="WR",H2="TE"),1,0)</f>
        <v>1</v>
      </c>
      <c r="AA2">
        <v>1</v>
      </c>
      <c r="AB2">
        <f>VLOOKUP(F2,[1]pff_ppr_projections!$B:$D,3,FALSE)</f>
        <v>333.4</v>
      </c>
      <c r="AC2">
        <f>VLOOKUP(F2,[2]numberFire_ppr_projections!$A:$B,2,FALSE)</f>
        <v>390.8</v>
      </c>
      <c r="AD2">
        <f>VLOOKUP(F2,[3]rotoballer_ppr_projections!$B:$G,6,FALSE)</f>
        <v>355</v>
      </c>
      <c r="AE2">
        <f>VLOOKUP(F2,[4]ppr!$B:$E,4,FALSE)</f>
        <v>314.52608678150921</v>
      </c>
      <c r="AF2">
        <f>VLOOKUP(F2,[4]half_ppr!$B:$E,4,FALSE)</f>
        <v>260.96237990454921</v>
      </c>
      <c r="AG2">
        <f>VLOOKUP(F2,[4]std!$B:$E,4,FALSE)</f>
        <v>207.39867302758918</v>
      </c>
      <c r="AH2">
        <f>IFERROR(VLOOKUP(F2,[5]actual_week11_ppr_stats!$A:$B,2,FALSE),0)</f>
        <v>195.7</v>
      </c>
    </row>
    <row r="3" spans="1:34" x14ac:dyDescent="0.2">
      <c r="A3">
        <v>2</v>
      </c>
      <c r="B3">
        <v>20271</v>
      </c>
      <c r="C3" t="s">
        <v>10</v>
      </c>
      <c r="D3" t="str" cm="1">
        <f t="array" ref="D3:E3">_xlfn.TEXTSPLIT(C3, ", ")</f>
        <v>Robinson</v>
      </c>
      <c r="E3" t="str">
        <v>Bijan</v>
      </c>
      <c r="F3" t="str">
        <f t="shared" ref="F3:F66" si="0">_xlfn.REGEXREPLACE(E3 &amp; " " &amp; D3, "\.", "")</f>
        <v>Bijan Robinson</v>
      </c>
      <c r="G3" t="s">
        <v>11</v>
      </c>
      <c r="H3" t="s">
        <v>12</v>
      </c>
      <c r="I3">
        <v>2.44</v>
      </c>
      <c r="J3">
        <v>1</v>
      </c>
      <c r="K3">
        <v>6</v>
      </c>
      <c r="L3">
        <f>VLOOKUP(G3,byes!$A:$B,2,FALSE)</f>
        <v>5</v>
      </c>
      <c r="M3">
        <f t="shared" ref="M3:M66" si="1">IF(L3=5,1,0)</f>
        <v>1</v>
      </c>
      <c r="N3">
        <f t="shared" ref="N3:N66" si="2">IF(L3=6,1,0)</f>
        <v>0</v>
      </c>
      <c r="O3">
        <f t="shared" ref="O3:O66" si="3">IF(L3=7,1,0)</f>
        <v>0</v>
      </c>
      <c r="P3">
        <f t="shared" ref="P3:P66" si="4">IF(L3=8,1,0)</f>
        <v>0</v>
      </c>
      <c r="Q3">
        <f t="shared" ref="Q3:Q66" si="5">IF(L3=9,1,0)</f>
        <v>0</v>
      </c>
      <c r="R3">
        <f t="shared" ref="R3:R66" si="6">IF(L3=10,1,0)</f>
        <v>0</v>
      </c>
      <c r="S3">
        <f t="shared" ref="S3:S66" si="7">IF(L3=11,1,0)</f>
        <v>0</v>
      </c>
      <c r="T3">
        <f t="shared" ref="T3:T66" si="8">IF(L3=12,1,0)</f>
        <v>0</v>
      </c>
      <c r="U3">
        <f t="shared" ref="U3:U66" si="9">IF(L3=14,1,0)</f>
        <v>0</v>
      </c>
      <c r="V3">
        <f t="shared" ref="V3:V66" si="10">IF(H3="QB", 1, 0)</f>
        <v>0</v>
      </c>
      <c r="W3">
        <f t="shared" ref="W3:W66" si="11">IF(H3="RB",1,0)</f>
        <v>1</v>
      </c>
      <c r="X3">
        <f t="shared" ref="X3:X66" si="12">IF(H3="WR",1,0)</f>
        <v>0</v>
      </c>
      <c r="Y3">
        <f t="shared" ref="Y3:Y66" si="13">IF(H3="TE",1,0)</f>
        <v>0</v>
      </c>
      <c r="Z3">
        <f t="shared" ref="Z3:Z66" si="14">IF(OR(H3="RB",H3="WR",H3="TE"),1,0)</f>
        <v>1</v>
      </c>
      <c r="AA3">
        <v>1</v>
      </c>
      <c r="AB3">
        <f>VLOOKUP(F3,[1]pff_ppr_projections!$B:$D,3,FALSE)</f>
        <v>299.39999999999998</v>
      </c>
      <c r="AC3">
        <f>VLOOKUP(F3,[2]numberFire_ppr_projections!$A:$B,2,FALSE)</f>
        <v>321.10000000000002</v>
      </c>
      <c r="AD3">
        <f>VLOOKUP(F3,[3]rotoballer_ppr_projections!$B:$G,6,FALSE)</f>
        <v>329</v>
      </c>
      <c r="AE3">
        <f>VLOOKUP(F3,[4]ppr!$B:$E,4,FALSE)</f>
        <v>295.88628546653098</v>
      </c>
      <c r="AF3">
        <f>VLOOKUP(F3,[4]half_ppr!$B:$E,4,FALSE)</f>
        <v>274.99155587933097</v>
      </c>
      <c r="AG3">
        <f>VLOOKUP(F3,[4]std!$B:$E,4,FALSE)</f>
        <v>254.09682629213097</v>
      </c>
      <c r="AH3">
        <f>IFERROR(VLOOKUP(F3,[5]actual_week11_ppr_stats!$A:$B,2,FALSE),0)</f>
        <v>211.9</v>
      </c>
    </row>
    <row r="4" spans="1:34" x14ac:dyDescent="0.2">
      <c r="A4">
        <v>3</v>
      </c>
      <c r="B4">
        <v>20272</v>
      </c>
      <c r="C4" t="s">
        <v>13</v>
      </c>
      <c r="D4" t="str" cm="1">
        <f t="array" ref="D4:E4">_xlfn.TEXTSPLIT(C4, ", ")</f>
        <v>Gibbs</v>
      </c>
      <c r="E4" t="str">
        <v>Jahmyr</v>
      </c>
      <c r="F4" t="str">
        <f t="shared" si="0"/>
        <v>Jahmyr Gibbs</v>
      </c>
      <c r="G4" t="s">
        <v>14</v>
      </c>
      <c r="H4" t="s">
        <v>12</v>
      </c>
      <c r="I4">
        <v>3.44</v>
      </c>
      <c r="J4">
        <v>1</v>
      </c>
      <c r="K4">
        <v>6</v>
      </c>
      <c r="L4">
        <f>VLOOKUP(G4,byes!$A:$B,2,FALSE)</f>
        <v>8</v>
      </c>
      <c r="M4">
        <f t="shared" si="1"/>
        <v>0</v>
      </c>
      <c r="N4">
        <f t="shared" si="2"/>
        <v>0</v>
      </c>
      <c r="O4">
        <f t="shared" si="3"/>
        <v>0</v>
      </c>
      <c r="P4">
        <f t="shared" si="4"/>
        <v>1</v>
      </c>
      <c r="Q4">
        <f t="shared" si="5"/>
        <v>0</v>
      </c>
      <c r="R4">
        <f t="shared" si="6"/>
        <v>0</v>
      </c>
      <c r="S4">
        <f t="shared" si="7"/>
        <v>0</v>
      </c>
      <c r="T4">
        <f t="shared" si="8"/>
        <v>0</v>
      </c>
      <c r="U4">
        <f t="shared" si="9"/>
        <v>0</v>
      </c>
      <c r="V4">
        <f t="shared" si="10"/>
        <v>0</v>
      </c>
      <c r="W4">
        <f t="shared" si="11"/>
        <v>1</v>
      </c>
      <c r="X4">
        <f t="shared" si="12"/>
        <v>0</v>
      </c>
      <c r="Y4">
        <f t="shared" si="13"/>
        <v>0</v>
      </c>
      <c r="Z4">
        <f t="shared" si="14"/>
        <v>1</v>
      </c>
      <c r="AA4">
        <v>1</v>
      </c>
      <c r="AB4">
        <f>VLOOKUP(F4,[1]pff_ppr_projections!$B:$D,3,FALSE)</f>
        <v>295.10000000000002</v>
      </c>
      <c r="AC4">
        <f>VLOOKUP(F4,[2]numberFire_ppr_projections!$A:$B,2,FALSE)</f>
        <v>334.6</v>
      </c>
      <c r="AD4">
        <f>VLOOKUP(F4,[3]rotoballer_ppr_projections!$B:$G,6,FALSE)</f>
        <v>324</v>
      </c>
      <c r="AE4">
        <f>VLOOKUP(F4,[4]ppr!$B:$E,4,FALSE)</f>
        <v>310.20755274563368</v>
      </c>
      <c r="AF4">
        <f>VLOOKUP(F4,[4]half_ppr!$B:$E,4,FALSE)</f>
        <v>283.12122831683365</v>
      </c>
      <c r="AG4">
        <f>VLOOKUP(F4,[4]std!$B:$E,4,FALSE)</f>
        <v>256.03490388803368</v>
      </c>
      <c r="AH4">
        <f>IFERROR(VLOOKUP(F4,[5]actual_week11_ppr_stats!$A:$B,2,FALSE),0)</f>
        <v>203.6</v>
      </c>
    </row>
    <row r="5" spans="1:34" x14ac:dyDescent="0.2">
      <c r="A5">
        <v>4</v>
      </c>
      <c r="B5">
        <v>17965</v>
      </c>
      <c r="C5" t="s">
        <v>15</v>
      </c>
      <c r="D5" t="str" cm="1">
        <f t="array" ref="D5:E5">_xlfn.TEXTSPLIT(C5, ", ")</f>
        <v>Lamb</v>
      </c>
      <c r="E5" t="str">
        <v>CeeDee</v>
      </c>
      <c r="F5" t="str">
        <f t="shared" si="0"/>
        <v>CeeDee Lamb</v>
      </c>
      <c r="G5" t="s">
        <v>16</v>
      </c>
      <c r="H5" t="s">
        <v>9</v>
      </c>
      <c r="I5">
        <v>3.83</v>
      </c>
      <c r="J5">
        <v>2</v>
      </c>
      <c r="K5">
        <v>7</v>
      </c>
      <c r="L5">
        <f>VLOOKUP(G5,byes!$A:$B,2,FALSE)</f>
        <v>10</v>
      </c>
      <c r="M5">
        <f t="shared" si="1"/>
        <v>0</v>
      </c>
      <c r="N5">
        <f t="shared" si="2"/>
        <v>0</v>
      </c>
      <c r="O5">
        <f t="shared" si="3"/>
        <v>0</v>
      </c>
      <c r="P5">
        <f t="shared" si="4"/>
        <v>0</v>
      </c>
      <c r="Q5">
        <f t="shared" si="5"/>
        <v>0</v>
      </c>
      <c r="R5">
        <f t="shared" si="6"/>
        <v>1</v>
      </c>
      <c r="S5">
        <f t="shared" si="7"/>
        <v>0</v>
      </c>
      <c r="T5">
        <f t="shared" si="8"/>
        <v>0</v>
      </c>
      <c r="U5">
        <f t="shared" si="9"/>
        <v>0</v>
      </c>
      <c r="V5">
        <f t="shared" si="10"/>
        <v>0</v>
      </c>
      <c r="W5">
        <f t="shared" si="11"/>
        <v>0</v>
      </c>
      <c r="X5">
        <f t="shared" si="12"/>
        <v>1</v>
      </c>
      <c r="Y5">
        <f t="shared" si="13"/>
        <v>0</v>
      </c>
      <c r="Z5">
        <f t="shared" si="14"/>
        <v>1</v>
      </c>
      <c r="AA5">
        <f t="shared" ref="AA5:AA65" si="15">IF(OR(H5="RB",H5="WR",H5="TE", H5="QB"),1,0)</f>
        <v>1</v>
      </c>
      <c r="AB5">
        <f>VLOOKUP(F5,[1]pff_ppr_projections!$B:$D,3,FALSE)</f>
        <v>274.60000000000002</v>
      </c>
      <c r="AC5">
        <f>VLOOKUP(F5,[2]numberFire_ppr_projections!$A:$B,2,FALSE)</f>
        <v>322.7</v>
      </c>
      <c r="AD5">
        <f>VLOOKUP(F5,[3]rotoballer_ppr_projections!$B:$G,6,FALSE)</f>
        <v>301</v>
      </c>
      <c r="AE5">
        <f>VLOOKUP(F5,[4]ppr!$B:$E,4,FALSE)</f>
        <v>302.70261854112391</v>
      </c>
      <c r="AF5">
        <f>VLOOKUP(F5,[4]half_ppr!$B:$E,4,FALSE)</f>
        <v>248.09917847326025</v>
      </c>
      <c r="AG5">
        <f>VLOOKUP(F5,[4]std!$B:$E,4,FALSE)</f>
        <v>193.49573840539659</v>
      </c>
      <c r="AH5">
        <f>IFERROR(VLOOKUP(F5,[5]actual_week11_ppr_stats!$A:$B,2,FALSE),0)</f>
        <v>107.9</v>
      </c>
    </row>
    <row r="6" spans="1:34" x14ac:dyDescent="0.2">
      <c r="A6">
        <v>5</v>
      </c>
      <c r="B6">
        <v>16062</v>
      </c>
      <c r="C6" t="s">
        <v>17</v>
      </c>
      <c r="D6" t="str" cm="1">
        <f t="array" ref="D6:E6">_xlfn.TEXTSPLIT(C6, ", ")</f>
        <v>Barkley</v>
      </c>
      <c r="E6" t="str">
        <v>Saquon</v>
      </c>
      <c r="F6" t="str">
        <f t="shared" si="0"/>
        <v>Saquon Barkley</v>
      </c>
      <c r="G6" t="s">
        <v>18</v>
      </c>
      <c r="H6" t="s">
        <v>12</v>
      </c>
      <c r="I6">
        <v>5.1100000000000003</v>
      </c>
      <c r="J6">
        <v>2</v>
      </c>
      <c r="K6">
        <v>8</v>
      </c>
      <c r="L6">
        <f>VLOOKUP(G6,byes!$A:$B,2,FALSE)</f>
        <v>9</v>
      </c>
      <c r="M6">
        <f t="shared" si="1"/>
        <v>0</v>
      </c>
      <c r="N6">
        <f t="shared" si="2"/>
        <v>0</v>
      </c>
      <c r="O6">
        <f t="shared" si="3"/>
        <v>0</v>
      </c>
      <c r="P6">
        <f t="shared" si="4"/>
        <v>0</v>
      </c>
      <c r="Q6">
        <f t="shared" si="5"/>
        <v>1</v>
      </c>
      <c r="R6">
        <f t="shared" si="6"/>
        <v>0</v>
      </c>
      <c r="S6">
        <f t="shared" si="7"/>
        <v>0</v>
      </c>
      <c r="T6">
        <f t="shared" si="8"/>
        <v>0</v>
      </c>
      <c r="U6">
        <f t="shared" si="9"/>
        <v>0</v>
      </c>
      <c r="V6">
        <f t="shared" si="10"/>
        <v>0</v>
      </c>
      <c r="W6">
        <f t="shared" si="11"/>
        <v>1</v>
      </c>
      <c r="X6">
        <f t="shared" si="12"/>
        <v>0</v>
      </c>
      <c r="Y6">
        <f t="shared" si="13"/>
        <v>0</v>
      </c>
      <c r="Z6">
        <f t="shared" si="14"/>
        <v>1</v>
      </c>
      <c r="AA6">
        <v>1</v>
      </c>
      <c r="AB6">
        <f>VLOOKUP(F6,[1]pff_ppr_projections!$B:$D,3,FALSE)</f>
        <v>285.5</v>
      </c>
      <c r="AC6">
        <f>VLOOKUP(F6,[2]numberFire_ppr_projections!$A:$B,2,FALSE)</f>
        <v>327.2</v>
      </c>
      <c r="AD6">
        <f>VLOOKUP(F6,[3]rotoballer_ppr_projections!$B:$G,6,FALSE)</f>
        <v>311</v>
      </c>
      <c r="AE6">
        <f>VLOOKUP(F6,[4]ppr!$B:$E,4,FALSE)</f>
        <v>283.51123882366937</v>
      </c>
      <c r="AF6">
        <f>VLOOKUP(F6,[4]half_ppr!$B:$E,4,FALSE)</f>
        <v>265.40973331263194</v>
      </c>
      <c r="AG6">
        <f>VLOOKUP(F6,[4]std!$B:$E,4,FALSE)</f>
        <v>247.30822780159448</v>
      </c>
      <c r="AH6">
        <f>IFERROR(VLOOKUP(F6,[5]actual_week11_ppr_stats!$A:$B,2,FALSE),0)</f>
        <v>150.9</v>
      </c>
    </row>
    <row r="7" spans="1:34" x14ac:dyDescent="0.2">
      <c r="A7">
        <v>6</v>
      </c>
      <c r="B7">
        <v>17972</v>
      </c>
      <c r="C7" t="s">
        <v>19</v>
      </c>
      <c r="D7" t="str" cm="1">
        <f t="array" ref="D7:E7">_xlfn.TEXTSPLIT(C7, ", ")</f>
        <v>Jefferson</v>
      </c>
      <c r="E7" t="str">
        <v>Justin</v>
      </c>
      <c r="F7" t="str">
        <f t="shared" si="0"/>
        <v>Justin Jefferson</v>
      </c>
      <c r="G7" t="s">
        <v>20</v>
      </c>
      <c r="H7" t="s">
        <v>9</v>
      </c>
      <c r="I7">
        <v>5.69</v>
      </c>
      <c r="J7">
        <v>2</v>
      </c>
      <c r="K7">
        <v>8</v>
      </c>
      <c r="L7">
        <f>VLOOKUP(G7,byes!$A:$B,2,FALSE)</f>
        <v>6</v>
      </c>
      <c r="M7">
        <f t="shared" si="1"/>
        <v>0</v>
      </c>
      <c r="N7">
        <f t="shared" si="2"/>
        <v>1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0</v>
      </c>
      <c r="S7">
        <f t="shared" si="7"/>
        <v>0</v>
      </c>
      <c r="T7">
        <f t="shared" si="8"/>
        <v>0</v>
      </c>
      <c r="U7">
        <f t="shared" si="9"/>
        <v>0</v>
      </c>
      <c r="V7">
        <f t="shared" si="10"/>
        <v>0</v>
      </c>
      <c r="W7">
        <f t="shared" si="11"/>
        <v>0</v>
      </c>
      <c r="X7">
        <f t="shared" si="12"/>
        <v>1</v>
      </c>
      <c r="Y7">
        <f t="shared" si="13"/>
        <v>0</v>
      </c>
      <c r="Z7">
        <f t="shared" si="14"/>
        <v>1</v>
      </c>
      <c r="AA7">
        <v>1</v>
      </c>
      <c r="AB7">
        <f>VLOOKUP(F7,[1]pff_ppr_projections!$B:$D,3,FALSE)</f>
        <v>291.2</v>
      </c>
      <c r="AC7">
        <f>VLOOKUP(F7,[2]numberFire_ppr_projections!$A:$B,2,FALSE)</f>
        <v>344.7</v>
      </c>
      <c r="AD7">
        <f>VLOOKUP(F7,[3]rotoballer_ppr_projections!$B:$G,6,FALSE)</f>
        <v>295</v>
      </c>
      <c r="AE7">
        <f>VLOOKUP(F7,[4]ppr!$B:$E,4,FALSE)</f>
        <v>289.81500370367991</v>
      </c>
      <c r="AF7">
        <f>VLOOKUP(F7,[4]half_ppr!$B:$E,4,FALSE)</f>
        <v>240.6831019756799</v>
      </c>
      <c r="AG7">
        <f>VLOOKUP(F7,[4]std!$B:$E,4,FALSE)</f>
        <v>191.55120024767996</v>
      </c>
      <c r="AH7">
        <f>IFERROR(VLOOKUP(F7,[5]actual_week11_ppr_stats!$A:$B,2,FALSE),0)</f>
        <v>143.1</v>
      </c>
    </row>
    <row r="8" spans="1:34" x14ac:dyDescent="0.2">
      <c r="A8">
        <v>7</v>
      </c>
      <c r="B8">
        <v>15222</v>
      </c>
      <c r="C8" t="s">
        <v>21</v>
      </c>
      <c r="D8" t="str" cm="1">
        <f t="array" ref="D8:E8">_xlfn.TEXTSPLIT(C8, ", ")</f>
        <v>McCaffrey</v>
      </c>
      <c r="E8" t="str">
        <v>Christian</v>
      </c>
      <c r="F8" t="str">
        <f t="shared" si="0"/>
        <v>Christian McCaffrey</v>
      </c>
      <c r="G8" t="s">
        <v>22</v>
      </c>
      <c r="H8" t="s">
        <v>12</v>
      </c>
      <c r="I8">
        <v>7.5</v>
      </c>
      <c r="J8">
        <v>3</v>
      </c>
      <c r="K8">
        <v>14</v>
      </c>
      <c r="L8">
        <f>VLOOKUP(G8,byes!$A:$B,2,FALSE)</f>
        <v>14</v>
      </c>
      <c r="M8">
        <f t="shared" si="1"/>
        <v>0</v>
      </c>
      <c r="N8">
        <f t="shared" si="2"/>
        <v>0</v>
      </c>
      <c r="O8">
        <f t="shared" si="3"/>
        <v>0</v>
      </c>
      <c r="P8">
        <f t="shared" si="4"/>
        <v>0</v>
      </c>
      <c r="Q8">
        <f t="shared" si="5"/>
        <v>0</v>
      </c>
      <c r="R8">
        <f t="shared" si="6"/>
        <v>0</v>
      </c>
      <c r="S8">
        <f t="shared" si="7"/>
        <v>0</v>
      </c>
      <c r="T8">
        <f t="shared" si="8"/>
        <v>0</v>
      </c>
      <c r="U8">
        <f t="shared" si="9"/>
        <v>1</v>
      </c>
      <c r="V8">
        <f t="shared" si="10"/>
        <v>0</v>
      </c>
      <c r="W8">
        <f t="shared" si="11"/>
        <v>1</v>
      </c>
      <c r="X8">
        <f t="shared" si="12"/>
        <v>0</v>
      </c>
      <c r="Y8">
        <f t="shared" si="13"/>
        <v>0</v>
      </c>
      <c r="Z8">
        <f t="shared" si="14"/>
        <v>1</v>
      </c>
      <c r="AA8">
        <v>1</v>
      </c>
      <c r="AB8">
        <f>VLOOKUP(F8,[1]pff_ppr_projections!$B:$D,3,FALSE)</f>
        <v>277.2</v>
      </c>
      <c r="AC8">
        <f>VLOOKUP(F8,[2]numberFire_ppr_projections!$A:$B,2,FALSE)</f>
        <v>336.8</v>
      </c>
      <c r="AD8">
        <f>VLOOKUP(F8,[3]rotoballer_ppr_projections!$B:$G,6,FALSE)</f>
        <v>288</v>
      </c>
      <c r="AE8">
        <f>VLOOKUP(F8,[4]ppr!$B:$E,4,FALSE)</f>
        <v>340.87175388661751</v>
      </c>
      <c r="AF8">
        <f>VLOOKUP(F8,[4]half_ppr!$B:$E,4,FALSE)</f>
        <v>311.12829396085749</v>
      </c>
      <c r="AG8">
        <f>VLOOKUP(F8,[4]std!$B:$E,4,FALSE)</f>
        <v>281.38483403509758</v>
      </c>
      <c r="AH8">
        <f>IFERROR(VLOOKUP(F8,[5]actual_week11_ppr_stats!$A:$B,2,FALSE),0)</f>
        <v>283.89999999999998</v>
      </c>
    </row>
    <row r="9" spans="1:34" x14ac:dyDescent="0.2">
      <c r="A9">
        <v>8</v>
      </c>
      <c r="B9">
        <v>21122</v>
      </c>
      <c r="C9" t="s">
        <v>23</v>
      </c>
      <c r="D9" t="str" cm="1">
        <f t="array" ref="D9:E9">_xlfn.TEXTSPLIT(C9, ", ")</f>
        <v>Nabers</v>
      </c>
      <c r="E9" t="str">
        <v>Malik</v>
      </c>
      <c r="F9" t="str">
        <f t="shared" si="0"/>
        <v>Malik Nabers</v>
      </c>
      <c r="G9" t="s">
        <v>24</v>
      </c>
      <c r="H9" t="s">
        <v>9</v>
      </c>
      <c r="I9">
        <v>8.7799999999999994</v>
      </c>
      <c r="J9">
        <v>6</v>
      </c>
      <c r="K9">
        <v>12</v>
      </c>
      <c r="L9">
        <f>VLOOKUP(G9,byes!$A:$B,2,FALSE)</f>
        <v>14</v>
      </c>
      <c r="M9">
        <f t="shared" si="1"/>
        <v>0</v>
      </c>
      <c r="N9">
        <f t="shared" si="2"/>
        <v>0</v>
      </c>
      <c r="O9">
        <f t="shared" si="3"/>
        <v>0</v>
      </c>
      <c r="P9">
        <f t="shared" si="4"/>
        <v>0</v>
      </c>
      <c r="Q9">
        <f t="shared" si="5"/>
        <v>0</v>
      </c>
      <c r="R9">
        <f t="shared" si="6"/>
        <v>0</v>
      </c>
      <c r="S9">
        <f t="shared" si="7"/>
        <v>0</v>
      </c>
      <c r="T9">
        <f t="shared" si="8"/>
        <v>0</v>
      </c>
      <c r="U9">
        <f t="shared" si="9"/>
        <v>1</v>
      </c>
      <c r="V9">
        <f t="shared" si="10"/>
        <v>0</v>
      </c>
      <c r="W9">
        <f t="shared" si="11"/>
        <v>0</v>
      </c>
      <c r="X9">
        <f t="shared" si="12"/>
        <v>1</v>
      </c>
      <c r="Y9">
        <f t="shared" si="13"/>
        <v>0</v>
      </c>
      <c r="Z9">
        <f t="shared" si="14"/>
        <v>1</v>
      </c>
      <c r="AA9">
        <f t="shared" si="15"/>
        <v>1</v>
      </c>
      <c r="AB9">
        <f>VLOOKUP(F9,[1]pff_ppr_projections!$B:$D,3,FALSE)</f>
        <v>266</v>
      </c>
      <c r="AC9">
        <f>VLOOKUP(F9,[2]numberFire_ppr_projections!$A:$B,2,FALSE)</f>
        <v>281.5</v>
      </c>
      <c r="AD9" s="1">
        <f>AVERAGE(AB9,AC9,AE9)</f>
        <v>273.84658415575922</v>
      </c>
      <c r="AE9">
        <f>VLOOKUP(F9,[4]ppr!$B:$E,4,FALSE)</f>
        <v>274.03975246727765</v>
      </c>
      <c r="AF9">
        <f>VLOOKUP(F9,[4]half_ppr!$B:$E,4,FALSE)</f>
        <v>221.96074211621766</v>
      </c>
      <c r="AG9">
        <f>VLOOKUP(F9,[4]std!$B:$E,4,FALSE)</f>
        <v>169.8817317651577</v>
      </c>
      <c r="AH9">
        <f>IFERROR(VLOOKUP(F9,[5]actual_week11_ppr_stats!$A:$B,2,FALSE),0)</f>
        <v>57.1</v>
      </c>
    </row>
    <row r="10" spans="1:34" x14ac:dyDescent="0.2">
      <c r="A10">
        <v>9</v>
      </c>
      <c r="B10">
        <v>18827</v>
      </c>
      <c r="C10" t="s">
        <v>25</v>
      </c>
      <c r="D10" t="str" cm="1">
        <f t="array" ref="D10:E10">_xlfn.TEXTSPLIT(C10, ", ")</f>
        <v>St. Brown</v>
      </c>
      <c r="E10" t="str">
        <v>Amon-Ra</v>
      </c>
      <c r="F10" t="str">
        <f t="shared" si="0"/>
        <v>Amon-Ra St Brown</v>
      </c>
      <c r="G10" t="s">
        <v>14</v>
      </c>
      <c r="H10" t="s">
        <v>9</v>
      </c>
      <c r="I10">
        <v>10.17</v>
      </c>
      <c r="J10">
        <v>6</v>
      </c>
      <c r="K10">
        <v>16</v>
      </c>
      <c r="L10">
        <f>VLOOKUP(G10,byes!$A:$B,2,FALSE)</f>
        <v>8</v>
      </c>
      <c r="M10">
        <f t="shared" si="1"/>
        <v>0</v>
      </c>
      <c r="N10">
        <f t="shared" si="2"/>
        <v>0</v>
      </c>
      <c r="O10">
        <f t="shared" si="3"/>
        <v>0</v>
      </c>
      <c r="P10">
        <f t="shared" si="4"/>
        <v>1</v>
      </c>
      <c r="Q10">
        <f t="shared" si="5"/>
        <v>0</v>
      </c>
      <c r="R10">
        <f t="shared" si="6"/>
        <v>0</v>
      </c>
      <c r="S10">
        <f t="shared" si="7"/>
        <v>0</v>
      </c>
      <c r="T10">
        <f t="shared" si="8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1</v>
      </c>
      <c r="Y10">
        <f t="shared" si="13"/>
        <v>0</v>
      </c>
      <c r="Z10">
        <f t="shared" si="14"/>
        <v>1</v>
      </c>
      <c r="AA10">
        <v>1</v>
      </c>
      <c r="AB10">
        <f>VLOOKUP(F10,[1]pff_ppr_projections!$B:$D,3,FALSE)</f>
        <v>270</v>
      </c>
      <c r="AC10">
        <f>VLOOKUP(F10,[2]numberFire_ppr_projections!$A:$B,2,FALSE)</f>
        <v>315.89999999999998</v>
      </c>
      <c r="AD10">
        <f>VLOOKUP(F10,[3]rotoballer_ppr_projections!$B:$G,6,FALSE)</f>
        <v>288</v>
      </c>
      <c r="AE10">
        <f>VLOOKUP(F10,[4]ppr!$B:$E,4,FALSE)</f>
        <v>287.26188984984788</v>
      </c>
      <c r="AF10">
        <f>VLOOKUP(F10,[4]half_ppr!$B:$E,4,FALSE)</f>
        <v>233.79023961784787</v>
      </c>
      <c r="AG10">
        <f>VLOOKUP(F10,[4]std!$B:$E,4,FALSE)</f>
        <v>180.31858938584787</v>
      </c>
      <c r="AH10">
        <f>IFERROR(VLOOKUP(F10,[5]actual_week11_ppr_stats!$A:$B,2,FALSE),0)</f>
        <v>188.4</v>
      </c>
    </row>
    <row r="11" spans="1:34" x14ac:dyDescent="0.2">
      <c r="A11">
        <v>10</v>
      </c>
      <c r="B11">
        <v>21131</v>
      </c>
      <c r="C11" t="s">
        <v>242</v>
      </c>
      <c r="D11" t="str" cm="1">
        <f t="array" ref="D11:E11">_xlfn.TEXTSPLIT(C11, ", ")</f>
        <v>Thomas Jr.</v>
      </c>
      <c r="E11" t="str">
        <v>Brian</v>
      </c>
      <c r="F11" t="str">
        <f t="shared" si="0"/>
        <v>Brian Thomas Jr</v>
      </c>
      <c r="G11" t="s">
        <v>26</v>
      </c>
      <c r="H11" t="s">
        <v>9</v>
      </c>
      <c r="I11">
        <v>10.51</v>
      </c>
      <c r="J11">
        <v>7</v>
      </c>
      <c r="K11">
        <v>17</v>
      </c>
      <c r="L11">
        <f>VLOOKUP(G11,byes!$A:$B,2,FALSE)</f>
        <v>8</v>
      </c>
      <c r="M11">
        <f t="shared" si="1"/>
        <v>0</v>
      </c>
      <c r="N11">
        <f t="shared" si="2"/>
        <v>0</v>
      </c>
      <c r="O11">
        <f t="shared" si="3"/>
        <v>0</v>
      </c>
      <c r="P11">
        <f t="shared" si="4"/>
        <v>1</v>
      </c>
      <c r="Q11">
        <f t="shared" si="5"/>
        <v>0</v>
      </c>
      <c r="R11">
        <f t="shared" si="6"/>
        <v>0</v>
      </c>
      <c r="S11">
        <f t="shared" si="7"/>
        <v>0</v>
      </c>
      <c r="T11">
        <f t="shared" si="8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1</v>
      </c>
      <c r="Y11">
        <f t="shared" si="13"/>
        <v>0</v>
      </c>
      <c r="Z11">
        <f t="shared" si="14"/>
        <v>1</v>
      </c>
      <c r="AA11">
        <v>1</v>
      </c>
      <c r="AB11">
        <f>VLOOKUP(F11,[1]pff_ppr_projections!$B:$D,3,FALSE)</f>
        <v>287.10000000000002</v>
      </c>
      <c r="AC11">
        <f>VLOOKUP(F11,[2]numberFire_ppr_projections!$A:$B,2,FALSE)</f>
        <v>286.7</v>
      </c>
      <c r="AD11">
        <f>VLOOKUP(F11,[3]rotoballer_ppr_projections!$B:$G,6,FALSE)</f>
        <v>269</v>
      </c>
      <c r="AE11">
        <f>VLOOKUP(F11,[4]ppr!$B:$E,4,FALSE)</f>
        <v>271.20467861068425</v>
      </c>
      <c r="AF11">
        <f>VLOOKUP(F11,[4]half_ppr!$B:$E,4,FALSE)</f>
        <v>224.49357309730425</v>
      </c>
      <c r="AG11">
        <f>VLOOKUP(F11,[4]std!$B:$E,4,FALSE)</f>
        <v>177.78246758392424</v>
      </c>
      <c r="AH11">
        <f>IFERROR(VLOOKUP(F11,[5]actual_week11_ppr_stats!$A:$B,2,FALSE),0)</f>
        <v>85.6</v>
      </c>
    </row>
    <row r="12" spans="1:34" x14ac:dyDescent="0.2">
      <c r="A12">
        <v>11</v>
      </c>
      <c r="B12">
        <v>18836</v>
      </c>
      <c r="C12" t="s">
        <v>27</v>
      </c>
      <c r="D12" t="str" cm="1">
        <f t="array" ref="D12:E12">_xlfn.TEXTSPLIT(C12, ", ")</f>
        <v>Collins</v>
      </c>
      <c r="E12" t="str">
        <v>Nico</v>
      </c>
      <c r="F12" t="str">
        <f t="shared" si="0"/>
        <v>Nico Collins</v>
      </c>
      <c r="G12" t="s">
        <v>28</v>
      </c>
      <c r="H12" t="s">
        <v>9</v>
      </c>
      <c r="I12">
        <v>11.11</v>
      </c>
      <c r="J12">
        <v>7</v>
      </c>
      <c r="K12">
        <v>16</v>
      </c>
      <c r="L12">
        <f>VLOOKUP(G12,byes!$A:$B,2,FALSE)</f>
        <v>6</v>
      </c>
      <c r="M12">
        <f t="shared" si="1"/>
        <v>0</v>
      </c>
      <c r="N12">
        <f t="shared" si="2"/>
        <v>1</v>
      </c>
      <c r="O12">
        <f t="shared" si="3"/>
        <v>0</v>
      </c>
      <c r="P12">
        <f t="shared" si="4"/>
        <v>0</v>
      </c>
      <c r="Q12">
        <f t="shared" si="5"/>
        <v>0</v>
      </c>
      <c r="R12">
        <f t="shared" si="6"/>
        <v>0</v>
      </c>
      <c r="S12">
        <f t="shared" si="7"/>
        <v>0</v>
      </c>
      <c r="T12">
        <f t="shared" si="8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1</v>
      </c>
      <c r="Y12">
        <f t="shared" si="13"/>
        <v>0</v>
      </c>
      <c r="Z12">
        <f t="shared" si="14"/>
        <v>1</v>
      </c>
      <c r="AA12">
        <v>1</v>
      </c>
      <c r="AB12">
        <f>VLOOKUP(F12,[1]pff_ppr_projections!$B:$D,3,FALSE)</f>
        <v>277.3</v>
      </c>
      <c r="AC12">
        <f>VLOOKUP(F12,[2]numberFire_ppr_projections!$A:$B,2,FALSE)</f>
        <v>285.8</v>
      </c>
      <c r="AD12">
        <f>VLOOKUP(F12,[3]rotoballer_ppr_projections!$B:$G,6,FALSE)</f>
        <v>281</v>
      </c>
      <c r="AE12">
        <f>VLOOKUP(F12,[4]ppr!$B:$E,4,FALSE)</f>
        <v>263.12237823687815</v>
      </c>
      <c r="AF12">
        <f>VLOOKUP(F12,[4]half_ppr!$B:$E,4,FALSE)</f>
        <v>217.55217071403814</v>
      </c>
      <c r="AG12">
        <f>VLOOKUP(F12,[4]std!$B:$E,4,FALSE)</f>
        <v>171.98196319119816</v>
      </c>
      <c r="AH12">
        <f>IFERROR(VLOOKUP(F12,[5]actual_week11_ppr_stats!$A:$B,2,FALSE),0)</f>
        <v>146.5</v>
      </c>
    </row>
    <row r="13" spans="1:34" x14ac:dyDescent="0.2">
      <c r="A13">
        <v>12</v>
      </c>
      <c r="B13">
        <v>22055</v>
      </c>
      <c r="C13" t="s">
        <v>29</v>
      </c>
      <c r="D13" t="str" cm="1">
        <f t="array" ref="D13:E13">_xlfn.TEXTSPLIT(C13, ", ")</f>
        <v>Jeanty</v>
      </c>
      <c r="E13" t="str">
        <v>Ashton</v>
      </c>
      <c r="F13" t="str">
        <f t="shared" si="0"/>
        <v>Ashton Jeanty</v>
      </c>
      <c r="G13" t="s">
        <v>30</v>
      </c>
      <c r="H13" t="s">
        <v>12</v>
      </c>
      <c r="I13">
        <v>11.5</v>
      </c>
      <c r="J13">
        <v>5</v>
      </c>
      <c r="K13">
        <v>18</v>
      </c>
      <c r="L13">
        <f>VLOOKUP(G13,byes!$A:$B,2,FALSE)</f>
        <v>8</v>
      </c>
      <c r="M13">
        <f t="shared" si="1"/>
        <v>0</v>
      </c>
      <c r="N13">
        <f t="shared" si="2"/>
        <v>0</v>
      </c>
      <c r="O13">
        <f t="shared" si="3"/>
        <v>0</v>
      </c>
      <c r="P13">
        <f t="shared" si="4"/>
        <v>1</v>
      </c>
      <c r="Q13">
        <f t="shared" si="5"/>
        <v>0</v>
      </c>
      <c r="R13">
        <f t="shared" si="6"/>
        <v>0</v>
      </c>
      <c r="S13">
        <f t="shared" si="7"/>
        <v>0</v>
      </c>
      <c r="T13">
        <f t="shared" si="8"/>
        <v>0</v>
      </c>
      <c r="U13">
        <f t="shared" si="9"/>
        <v>0</v>
      </c>
      <c r="V13">
        <f t="shared" si="10"/>
        <v>0</v>
      </c>
      <c r="W13">
        <f t="shared" si="11"/>
        <v>1</v>
      </c>
      <c r="X13">
        <f t="shared" si="12"/>
        <v>0</v>
      </c>
      <c r="Y13">
        <f t="shared" si="13"/>
        <v>0</v>
      </c>
      <c r="Z13">
        <f t="shared" si="14"/>
        <v>1</v>
      </c>
      <c r="AA13">
        <f t="shared" si="15"/>
        <v>1</v>
      </c>
      <c r="AB13">
        <f>VLOOKUP(F13,[1]pff_ppr_projections!$B:$D,3,FALSE)</f>
        <v>290.3</v>
      </c>
      <c r="AC13">
        <f>VLOOKUP(F13,[2]numberFire_ppr_projections!$A:$B,2,FALSE)</f>
        <v>219.9</v>
      </c>
      <c r="AD13">
        <f>VLOOKUP(F13,[3]rotoballer_ppr_projections!$B:$G,6,FALSE)</f>
        <v>252</v>
      </c>
      <c r="AE13">
        <f>VLOOKUP(F13,[4]ppr!$B:$E,4,FALSE)</f>
        <v>243.89724576023238</v>
      </c>
      <c r="AF13">
        <f>VLOOKUP(F13,[4]half_ppr!$B:$E,4,FALSE)</f>
        <v>227.18266591463239</v>
      </c>
      <c r="AG13">
        <f>VLOOKUP(F13,[4]std!$B:$E,4,FALSE)</f>
        <v>210.46808606903238</v>
      </c>
      <c r="AH13">
        <f>IFERROR(VLOOKUP(F13,[5]actual_week11_ppr_stats!$A:$B,2,FALSE),0)</f>
        <v>142.69999999999999</v>
      </c>
    </row>
    <row r="14" spans="1:34" x14ac:dyDescent="0.2">
      <c r="A14">
        <v>13</v>
      </c>
      <c r="B14">
        <v>19433</v>
      </c>
      <c r="C14" t="s">
        <v>31</v>
      </c>
      <c r="D14" t="str" cm="1">
        <f t="array" ref="D14:E14">_xlfn.TEXTSPLIT(C14, ", ")</f>
        <v>London</v>
      </c>
      <c r="E14" t="str">
        <v>Drake</v>
      </c>
      <c r="F14" t="str">
        <f t="shared" si="0"/>
        <v>Drake London</v>
      </c>
      <c r="G14" t="s">
        <v>11</v>
      </c>
      <c r="H14" t="s">
        <v>9</v>
      </c>
      <c r="I14">
        <v>13.34</v>
      </c>
      <c r="J14">
        <v>6</v>
      </c>
      <c r="K14">
        <v>20</v>
      </c>
      <c r="L14">
        <f>VLOOKUP(G14,byes!$A:$B,2,FALSE)</f>
        <v>5</v>
      </c>
      <c r="M14">
        <f t="shared" si="1"/>
        <v>1</v>
      </c>
      <c r="N14">
        <f t="shared" si="2"/>
        <v>0</v>
      </c>
      <c r="O14">
        <f t="shared" si="3"/>
        <v>0</v>
      </c>
      <c r="P14">
        <f t="shared" si="4"/>
        <v>0</v>
      </c>
      <c r="Q14">
        <f t="shared" si="5"/>
        <v>0</v>
      </c>
      <c r="R14">
        <f t="shared" si="6"/>
        <v>0</v>
      </c>
      <c r="S14">
        <f t="shared" si="7"/>
        <v>0</v>
      </c>
      <c r="T14">
        <f t="shared" si="8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1</v>
      </c>
      <c r="Y14">
        <f t="shared" si="13"/>
        <v>0</v>
      </c>
      <c r="Z14">
        <f t="shared" si="14"/>
        <v>1</v>
      </c>
      <c r="AA14">
        <v>1</v>
      </c>
      <c r="AB14">
        <f>VLOOKUP(F14,[1]pff_ppr_projections!$B:$D,3,FALSE)</f>
        <v>259.39999999999998</v>
      </c>
      <c r="AC14">
        <f>VLOOKUP(F14,[2]numberFire_ppr_projections!$A:$B,2,FALSE)</f>
        <v>282.10000000000002</v>
      </c>
      <c r="AD14">
        <f>VLOOKUP(F14,[3]rotoballer_ppr_projections!$B:$G,6,FALSE)</f>
        <v>271</v>
      </c>
      <c r="AE14">
        <f>VLOOKUP(F14,[4]ppr!$B:$E,4,FALSE)</f>
        <v>273.56591071353608</v>
      </c>
      <c r="AF14">
        <f>VLOOKUP(F14,[4]half_ppr!$B:$E,4,FALSE)</f>
        <v>224.27475563001605</v>
      </c>
      <c r="AG14">
        <f>VLOOKUP(F14,[4]std!$B:$E,4,FALSE)</f>
        <v>174.98360054649604</v>
      </c>
      <c r="AH14">
        <f>IFERROR(VLOOKUP(F14,[5]actual_week11_ppr_stats!$A:$B,2,FALSE),0)</f>
        <v>177</v>
      </c>
    </row>
    <row r="15" spans="1:34" x14ac:dyDescent="0.2">
      <c r="A15">
        <v>14</v>
      </c>
      <c r="B15">
        <v>15055</v>
      </c>
      <c r="C15" t="s">
        <v>32</v>
      </c>
      <c r="D15" t="str" cm="1">
        <f t="array" ref="D15:E15">_xlfn.TEXTSPLIT(C15, ", ")</f>
        <v>Henry</v>
      </c>
      <c r="E15" t="str">
        <v>Derrick</v>
      </c>
      <c r="F15" t="str">
        <f t="shared" si="0"/>
        <v>Derrick Henry</v>
      </c>
      <c r="G15" t="s">
        <v>33</v>
      </c>
      <c r="H15" t="s">
        <v>12</v>
      </c>
      <c r="I15">
        <v>13.47</v>
      </c>
      <c r="J15">
        <v>7</v>
      </c>
      <c r="K15">
        <v>19</v>
      </c>
      <c r="L15">
        <f>VLOOKUP(G15,byes!$A:$B,2,FALSE)</f>
        <v>7</v>
      </c>
      <c r="M15">
        <f t="shared" si="1"/>
        <v>0</v>
      </c>
      <c r="N15">
        <f t="shared" si="2"/>
        <v>0</v>
      </c>
      <c r="O15">
        <f t="shared" si="3"/>
        <v>1</v>
      </c>
      <c r="P15">
        <f t="shared" si="4"/>
        <v>0</v>
      </c>
      <c r="Q15">
        <f t="shared" si="5"/>
        <v>0</v>
      </c>
      <c r="R15">
        <f t="shared" si="6"/>
        <v>0</v>
      </c>
      <c r="S15">
        <f t="shared" si="7"/>
        <v>0</v>
      </c>
      <c r="T15">
        <f t="shared" si="8"/>
        <v>0</v>
      </c>
      <c r="U15">
        <f t="shared" si="9"/>
        <v>0</v>
      </c>
      <c r="V15">
        <f t="shared" si="10"/>
        <v>0</v>
      </c>
      <c r="W15">
        <f t="shared" si="11"/>
        <v>1</v>
      </c>
      <c r="X15">
        <f t="shared" si="12"/>
        <v>0</v>
      </c>
      <c r="Y15">
        <f t="shared" si="13"/>
        <v>0</v>
      </c>
      <c r="Z15">
        <f t="shared" si="14"/>
        <v>1</v>
      </c>
      <c r="AA15">
        <v>1</v>
      </c>
      <c r="AB15">
        <f>VLOOKUP(F15,[1]pff_ppr_projections!$B:$D,3,FALSE)</f>
        <v>252.5</v>
      </c>
      <c r="AC15">
        <f>VLOOKUP(F15,[2]numberFire_ppr_projections!$A:$B,2,FALSE)</f>
        <v>223.5</v>
      </c>
      <c r="AD15">
        <f>VLOOKUP(F15,[3]rotoballer_ppr_projections!$B:$G,6,FALSE)</f>
        <v>274</v>
      </c>
      <c r="AE15">
        <f>VLOOKUP(F15,[4]ppr!$B:$E,4,FALSE)</f>
        <v>273.22939222990766</v>
      </c>
      <c r="AF15">
        <f>VLOOKUP(F15,[4]half_ppr!$B:$E,4,FALSE)</f>
        <v>264.05379922990761</v>
      </c>
      <c r="AG15">
        <f>VLOOKUP(F15,[4]std!$B:$E,4,FALSE)</f>
        <v>254.87820622990762</v>
      </c>
      <c r="AH15">
        <f>IFERROR(VLOOKUP(F15,[5]actual_week11_ppr_stats!$A:$B,2,FALSE),0)</f>
        <v>141.1</v>
      </c>
    </row>
    <row r="16" spans="1:34" x14ac:dyDescent="0.2">
      <c r="A16">
        <v>15</v>
      </c>
      <c r="B16">
        <v>20336</v>
      </c>
      <c r="C16" t="s">
        <v>34</v>
      </c>
      <c r="D16" t="str" cm="1">
        <f t="array" ref="D16:E16">_xlfn.TEXTSPLIT(C16, ", ")</f>
        <v>Nacua</v>
      </c>
      <c r="E16" t="str">
        <v>Puka</v>
      </c>
      <c r="F16" t="str">
        <f t="shared" si="0"/>
        <v>Puka Nacua</v>
      </c>
      <c r="G16" t="s">
        <v>35</v>
      </c>
      <c r="H16" t="s">
        <v>9</v>
      </c>
      <c r="I16">
        <v>14.41</v>
      </c>
      <c r="J16">
        <v>8</v>
      </c>
      <c r="K16">
        <v>22</v>
      </c>
      <c r="L16">
        <f>VLOOKUP(G16,byes!$A:$B,2,FALSE)</f>
        <v>8</v>
      </c>
      <c r="M16">
        <f t="shared" si="1"/>
        <v>0</v>
      </c>
      <c r="N16">
        <f t="shared" si="2"/>
        <v>0</v>
      </c>
      <c r="O16">
        <f t="shared" si="3"/>
        <v>0</v>
      </c>
      <c r="P16">
        <f t="shared" si="4"/>
        <v>1</v>
      </c>
      <c r="Q16">
        <f t="shared" si="5"/>
        <v>0</v>
      </c>
      <c r="R16">
        <f t="shared" si="6"/>
        <v>0</v>
      </c>
      <c r="S16">
        <f t="shared" si="7"/>
        <v>0</v>
      </c>
      <c r="T16">
        <f t="shared" si="8"/>
        <v>0</v>
      </c>
      <c r="U16">
        <f t="shared" si="9"/>
        <v>0</v>
      </c>
      <c r="V16">
        <f t="shared" si="10"/>
        <v>0</v>
      </c>
      <c r="W16">
        <f t="shared" si="11"/>
        <v>0</v>
      </c>
      <c r="X16">
        <f t="shared" si="12"/>
        <v>1</v>
      </c>
      <c r="Y16">
        <f t="shared" si="13"/>
        <v>0</v>
      </c>
      <c r="Z16">
        <f t="shared" si="14"/>
        <v>1</v>
      </c>
      <c r="AA16">
        <v>1</v>
      </c>
      <c r="AB16">
        <f>VLOOKUP(F16,[1]pff_ppr_projections!$B:$D,3,FALSE)</f>
        <v>285.3</v>
      </c>
      <c r="AC16">
        <f>VLOOKUP(F16,[2]numberFire_ppr_projections!$A:$B,2,FALSE)</f>
        <v>298.2</v>
      </c>
      <c r="AD16">
        <f>VLOOKUP(F16,[3]rotoballer_ppr_projections!$B:$G,6,FALSE)</f>
        <v>281</v>
      </c>
      <c r="AE16">
        <f>VLOOKUP(F16,[4]ppr!$B:$E,4,FALSE)</f>
        <v>285.72001121798695</v>
      </c>
      <c r="AF16">
        <f>VLOOKUP(F16,[4]half_ppr!$B:$E,4,FALSE)</f>
        <v>235.41509659447604</v>
      </c>
      <c r="AG16">
        <f>VLOOKUP(F16,[4]std!$B:$E,4,FALSE)</f>
        <v>185.11018197096516</v>
      </c>
      <c r="AH16">
        <f>IFERROR(VLOOKUP(F16,[5]actual_week11_ppr_stats!$A:$B,2,FALSE),0)</f>
        <v>195.3</v>
      </c>
    </row>
    <row r="17" spans="1:34" x14ac:dyDescent="0.2">
      <c r="A17">
        <v>16</v>
      </c>
      <c r="B17">
        <v>20292</v>
      </c>
      <c r="C17" t="s">
        <v>36</v>
      </c>
      <c r="D17" t="str" cm="1">
        <f t="array" ref="D17:E17">_xlfn.TEXTSPLIT(C17, ", ")</f>
        <v>Brown</v>
      </c>
      <c r="E17" t="str">
        <v>Chase</v>
      </c>
      <c r="F17" t="str">
        <f t="shared" si="0"/>
        <v>Chase Brown</v>
      </c>
      <c r="G17" t="s">
        <v>8</v>
      </c>
      <c r="H17" t="s">
        <v>12</v>
      </c>
      <c r="I17">
        <v>16.760000000000002</v>
      </c>
      <c r="J17">
        <v>11</v>
      </c>
      <c r="K17">
        <v>25</v>
      </c>
      <c r="L17">
        <f>VLOOKUP(G17,byes!$A:$B,2,FALSE)</f>
        <v>10</v>
      </c>
      <c r="M17">
        <f t="shared" si="1"/>
        <v>0</v>
      </c>
      <c r="N17">
        <f t="shared" si="2"/>
        <v>0</v>
      </c>
      <c r="O17">
        <f t="shared" si="3"/>
        <v>0</v>
      </c>
      <c r="P17">
        <f t="shared" si="4"/>
        <v>0</v>
      </c>
      <c r="Q17">
        <f t="shared" si="5"/>
        <v>0</v>
      </c>
      <c r="R17">
        <f t="shared" si="6"/>
        <v>1</v>
      </c>
      <c r="S17">
        <f t="shared" si="7"/>
        <v>0</v>
      </c>
      <c r="T17">
        <f t="shared" si="8"/>
        <v>0</v>
      </c>
      <c r="U17">
        <f t="shared" si="9"/>
        <v>0</v>
      </c>
      <c r="V17">
        <f t="shared" si="10"/>
        <v>0</v>
      </c>
      <c r="W17">
        <f t="shared" si="11"/>
        <v>1</v>
      </c>
      <c r="X17">
        <f t="shared" si="12"/>
        <v>0</v>
      </c>
      <c r="Y17">
        <f t="shared" si="13"/>
        <v>0</v>
      </c>
      <c r="Z17">
        <f t="shared" si="14"/>
        <v>1</v>
      </c>
      <c r="AA17">
        <f t="shared" si="15"/>
        <v>1</v>
      </c>
      <c r="AB17">
        <f>VLOOKUP(F17,[1]pff_ppr_projections!$B:$D,3,FALSE)</f>
        <v>225.9</v>
      </c>
      <c r="AC17">
        <f>VLOOKUP(F17,[2]numberFire_ppr_projections!$A:$B,2,FALSE)</f>
        <v>222.5</v>
      </c>
      <c r="AD17">
        <f>VLOOKUP(F17,[3]rotoballer_ppr_projections!$B:$G,6,FALSE)</f>
        <v>258</v>
      </c>
      <c r="AE17">
        <f>VLOOKUP(F17,[4]ppr!$B:$E,4,FALSE)</f>
        <v>257.50167941691899</v>
      </c>
      <c r="AF17">
        <f>VLOOKUP(F17,[4]half_ppr!$B:$E,4,FALSE)</f>
        <v>232.30900052091897</v>
      </c>
      <c r="AG17">
        <f>VLOOKUP(F17,[4]std!$B:$E,4,FALSE)</f>
        <v>207.11632162491895</v>
      </c>
      <c r="AH17">
        <f>IFERROR(VLOOKUP(F17,[5]actual_week11_ppr_stats!$A:$B,2,FALSE),0)</f>
        <v>131.80000000000001</v>
      </c>
    </row>
    <row r="18" spans="1:34" x14ac:dyDescent="0.2">
      <c r="A18">
        <v>17</v>
      </c>
      <c r="B18">
        <v>20284</v>
      </c>
      <c r="C18" t="s">
        <v>37</v>
      </c>
      <c r="D18" t="str" cm="1">
        <f t="array" ref="D18:E18">_xlfn.TEXTSPLIT(C18, ", ")</f>
        <v>Achane</v>
      </c>
      <c r="E18" t="str">
        <v>De'Von</v>
      </c>
      <c r="F18" t="str">
        <f t="shared" si="0"/>
        <v>De'Von Achane</v>
      </c>
      <c r="G18" t="s">
        <v>38</v>
      </c>
      <c r="H18" t="s">
        <v>12</v>
      </c>
      <c r="I18">
        <v>18.170000000000002</v>
      </c>
      <c r="J18">
        <v>12</v>
      </c>
      <c r="K18">
        <v>27</v>
      </c>
      <c r="L18">
        <f>VLOOKUP(G18,byes!$A:$B,2,FALSE)</f>
        <v>12</v>
      </c>
      <c r="M18">
        <f t="shared" si="1"/>
        <v>0</v>
      </c>
      <c r="N18">
        <f t="shared" si="2"/>
        <v>0</v>
      </c>
      <c r="O18">
        <f t="shared" si="3"/>
        <v>0</v>
      </c>
      <c r="P18">
        <f t="shared" si="4"/>
        <v>0</v>
      </c>
      <c r="Q18">
        <f t="shared" si="5"/>
        <v>0</v>
      </c>
      <c r="R18">
        <f t="shared" si="6"/>
        <v>0</v>
      </c>
      <c r="S18">
        <f t="shared" si="7"/>
        <v>0</v>
      </c>
      <c r="T18">
        <f t="shared" si="8"/>
        <v>1</v>
      </c>
      <c r="U18">
        <f t="shared" si="9"/>
        <v>0</v>
      </c>
      <c r="V18">
        <f t="shared" si="10"/>
        <v>0</v>
      </c>
      <c r="W18">
        <f t="shared" si="11"/>
        <v>1</v>
      </c>
      <c r="X18">
        <f t="shared" si="12"/>
        <v>0</v>
      </c>
      <c r="Y18">
        <f t="shared" si="13"/>
        <v>0</v>
      </c>
      <c r="Z18">
        <f t="shared" si="14"/>
        <v>1</v>
      </c>
      <c r="AA18">
        <v>1</v>
      </c>
      <c r="AB18">
        <f>VLOOKUP(F18,[1]pff_ppr_projections!$B:$D,3,FALSE)</f>
        <v>275.60000000000002</v>
      </c>
      <c r="AC18">
        <f>VLOOKUP(F18,[2]numberFire_ppr_projections!$A:$B,2,FALSE)</f>
        <v>299.2</v>
      </c>
      <c r="AD18">
        <f>VLOOKUP(F18,[3]rotoballer_ppr_projections!$B:$G,6,FALSE)</f>
        <v>276</v>
      </c>
      <c r="AE18">
        <f>VLOOKUP(F18,[4]ppr!$B:$E,4,FALSE)</f>
        <v>284.60498103384441</v>
      </c>
      <c r="AF18">
        <f>VLOOKUP(F18,[4]half_ppr!$B:$E,4,FALSE)</f>
        <v>249.3592015048844</v>
      </c>
      <c r="AG18">
        <f>VLOOKUP(F18,[4]std!$B:$E,4,FALSE)</f>
        <v>214.11342197592441</v>
      </c>
      <c r="AH18">
        <f>IFERROR(VLOOKUP(F18,[5]actual_week11_ppr_stats!$A:$B,2,FALSE),0)</f>
        <v>235</v>
      </c>
    </row>
    <row r="19" spans="1:34" x14ac:dyDescent="0.2">
      <c r="A19">
        <v>18</v>
      </c>
      <c r="B19">
        <v>16998</v>
      </c>
      <c r="C19" t="s">
        <v>39</v>
      </c>
      <c r="D19" t="str" cm="1">
        <f t="array" ref="D19:E19">_xlfn.TEXTSPLIT(C19, ", ")</f>
        <v>Jacobs</v>
      </c>
      <c r="E19" t="str">
        <v>Josh</v>
      </c>
      <c r="F19" t="str">
        <f t="shared" si="0"/>
        <v>Josh Jacobs</v>
      </c>
      <c r="G19" t="s">
        <v>40</v>
      </c>
      <c r="H19" t="s">
        <v>12</v>
      </c>
      <c r="I19">
        <v>19.66</v>
      </c>
      <c r="J19">
        <v>14</v>
      </c>
      <c r="K19">
        <v>26</v>
      </c>
      <c r="L19">
        <f>VLOOKUP(G19,byes!$A:$B,2,FALSE)</f>
        <v>5</v>
      </c>
      <c r="M19">
        <f t="shared" si="1"/>
        <v>1</v>
      </c>
      <c r="N19">
        <f t="shared" si="2"/>
        <v>0</v>
      </c>
      <c r="O19">
        <f t="shared" si="3"/>
        <v>0</v>
      </c>
      <c r="P19">
        <f t="shared" si="4"/>
        <v>0</v>
      </c>
      <c r="Q19">
        <f t="shared" si="5"/>
        <v>0</v>
      </c>
      <c r="R19">
        <f t="shared" si="6"/>
        <v>0</v>
      </c>
      <c r="S19">
        <f t="shared" si="7"/>
        <v>0</v>
      </c>
      <c r="T19">
        <f t="shared" si="8"/>
        <v>0</v>
      </c>
      <c r="U19">
        <f t="shared" si="9"/>
        <v>0</v>
      </c>
      <c r="V19">
        <f t="shared" si="10"/>
        <v>0</v>
      </c>
      <c r="W19">
        <f t="shared" si="11"/>
        <v>1</v>
      </c>
      <c r="X19">
        <f t="shared" si="12"/>
        <v>0</v>
      </c>
      <c r="Y19">
        <f t="shared" si="13"/>
        <v>0</v>
      </c>
      <c r="Z19">
        <f t="shared" si="14"/>
        <v>1</v>
      </c>
      <c r="AA19">
        <v>1</v>
      </c>
      <c r="AB19">
        <f>VLOOKUP(F19,[1]pff_ppr_projections!$B:$D,3,FALSE)</f>
        <v>252</v>
      </c>
      <c r="AC19">
        <f>VLOOKUP(F19,[2]numberFire_ppr_projections!$A:$B,2,FALSE)</f>
        <v>227.9</v>
      </c>
      <c r="AD19">
        <f>VLOOKUP(F19,[3]rotoballer_ppr_projections!$B:$G,6,FALSE)</f>
        <v>259</v>
      </c>
      <c r="AE19">
        <f>VLOOKUP(F19,[4]ppr!$B:$E,4,FALSE)</f>
        <v>267.47567110573232</v>
      </c>
      <c r="AF19">
        <f>VLOOKUP(F19,[4]half_ppr!$B:$E,4,FALSE)</f>
        <v>250.07547608653235</v>
      </c>
      <c r="AG19">
        <f>VLOOKUP(F19,[4]std!$B:$E,4,FALSE)</f>
        <v>232.67528106733235</v>
      </c>
      <c r="AH19">
        <f>IFERROR(VLOOKUP(F19,[5]actual_week11_ppr_stats!$A:$B,2,FALSE),0)</f>
        <v>182.5</v>
      </c>
    </row>
    <row r="20" spans="1:34" x14ac:dyDescent="0.2">
      <c r="A20">
        <v>19</v>
      </c>
      <c r="B20">
        <v>17004</v>
      </c>
      <c r="C20" t="s">
        <v>41</v>
      </c>
      <c r="D20" t="str" cm="1">
        <f t="array" ref="D20:E20">_xlfn.TEXTSPLIT(C20, ", ")</f>
        <v>Brown</v>
      </c>
      <c r="E20" t="str">
        <v>A.J.</v>
      </c>
      <c r="F20" t="str">
        <f t="shared" si="0"/>
        <v>AJ Brown</v>
      </c>
      <c r="G20" t="s">
        <v>18</v>
      </c>
      <c r="H20" t="s">
        <v>9</v>
      </c>
      <c r="I20">
        <v>19.75</v>
      </c>
      <c r="J20">
        <v>14</v>
      </c>
      <c r="K20">
        <v>26</v>
      </c>
      <c r="L20">
        <f>VLOOKUP(G20,byes!$A:$B,2,FALSE)</f>
        <v>9</v>
      </c>
      <c r="M20">
        <f t="shared" si="1"/>
        <v>0</v>
      </c>
      <c r="N20">
        <f t="shared" si="2"/>
        <v>0</v>
      </c>
      <c r="O20">
        <f t="shared" si="3"/>
        <v>0</v>
      </c>
      <c r="P20">
        <f t="shared" si="4"/>
        <v>0</v>
      </c>
      <c r="Q20">
        <f t="shared" si="5"/>
        <v>1</v>
      </c>
      <c r="R20">
        <f t="shared" si="6"/>
        <v>0</v>
      </c>
      <c r="S20">
        <f t="shared" si="7"/>
        <v>0</v>
      </c>
      <c r="T20">
        <f t="shared" si="8"/>
        <v>0</v>
      </c>
      <c r="U20">
        <f t="shared" si="9"/>
        <v>0</v>
      </c>
      <c r="V20">
        <f t="shared" si="10"/>
        <v>0</v>
      </c>
      <c r="W20">
        <f t="shared" si="11"/>
        <v>0</v>
      </c>
      <c r="X20">
        <f t="shared" si="12"/>
        <v>1</v>
      </c>
      <c r="Y20">
        <f t="shared" si="13"/>
        <v>0</v>
      </c>
      <c r="Z20">
        <f t="shared" si="14"/>
        <v>1</v>
      </c>
      <c r="AA20">
        <v>1</v>
      </c>
      <c r="AB20">
        <f>VLOOKUP(F20,[1]pff_ppr_projections!$B:$D,3,FALSE)</f>
        <v>255.7</v>
      </c>
      <c r="AC20">
        <f>VLOOKUP(F20,[2]numberFire_ppr_projections!$A:$B,2,FALSE)</f>
        <v>270.60000000000002</v>
      </c>
      <c r="AD20">
        <f>VLOOKUP(F20,[3]rotoballer_ppr_projections!$B:$G,6,FALSE)</f>
        <v>261</v>
      </c>
      <c r="AE20">
        <f>VLOOKUP(F20,[4]ppr!$B:$E,4,FALSE)</f>
        <v>229.76601789859217</v>
      </c>
      <c r="AF20">
        <f>VLOOKUP(F20,[4]half_ppr!$B:$E,4,FALSE)</f>
        <v>192.51471797988398</v>
      </c>
      <c r="AG20">
        <f>VLOOKUP(F20,[4]std!$B:$E,4,FALSE)</f>
        <v>155.26341806117577</v>
      </c>
      <c r="AH20">
        <f>IFERROR(VLOOKUP(F20,[5]actual_week11_ppr_stats!$A:$B,2,FALSE),0)</f>
        <v>101.7</v>
      </c>
    </row>
    <row r="21" spans="1:34" x14ac:dyDescent="0.2">
      <c r="A21">
        <v>20</v>
      </c>
      <c r="B21">
        <v>17962</v>
      </c>
      <c r="C21" t="s">
        <v>42</v>
      </c>
      <c r="D21" t="str" cm="1">
        <f t="array" ref="D21:E21">_xlfn.TEXTSPLIT(C21, ", ")</f>
        <v>Taylor</v>
      </c>
      <c r="E21" t="str">
        <v>Jonathan</v>
      </c>
      <c r="F21" t="str">
        <f t="shared" si="0"/>
        <v>Jonathan Taylor</v>
      </c>
      <c r="G21" t="s">
        <v>43</v>
      </c>
      <c r="H21" t="s">
        <v>12</v>
      </c>
      <c r="I21">
        <v>19.97</v>
      </c>
      <c r="J21">
        <v>13</v>
      </c>
      <c r="K21">
        <v>28</v>
      </c>
      <c r="L21">
        <f>VLOOKUP(G21,byes!$A:$B,2,FALSE)</f>
        <v>11</v>
      </c>
      <c r="M21">
        <f t="shared" si="1"/>
        <v>0</v>
      </c>
      <c r="N21">
        <f t="shared" si="2"/>
        <v>0</v>
      </c>
      <c r="O21">
        <f t="shared" si="3"/>
        <v>0</v>
      </c>
      <c r="P21">
        <f t="shared" si="4"/>
        <v>0</v>
      </c>
      <c r="Q21">
        <f t="shared" si="5"/>
        <v>0</v>
      </c>
      <c r="R21">
        <f t="shared" si="6"/>
        <v>0</v>
      </c>
      <c r="S21">
        <f t="shared" si="7"/>
        <v>1</v>
      </c>
      <c r="T21">
        <f t="shared" si="8"/>
        <v>0</v>
      </c>
      <c r="U21">
        <f t="shared" si="9"/>
        <v>0</v>
      </c>
      <c r="V21">
        <f t="shared" si="10"/>
        <v>0</v>
      </c>
      <c r="W21">
        <f t="shared" si="11"/>
        <v>1</v>
      </c>
      <c r="X21">
        <f t="shared" si="12"/>
        <v>0</v>
      </c>
      <c r="Y21">
        <f t="shared" si="13"/>
        <v>0</v>
      </c>
      <c r="Z21">
        <f t="shared" si="14"/>
        <v>1</v>
      </c>
      <c r="AA21">
        <f t="shared" si="15"/>
        <v>1</v>
      </c>
      <c r="AB21">
        <f>VLOOKUP(F21,[1]pff_ppr_projections!$B:$D,3,FALSE)</f>
        <v>242.7</v>
      </c>
      <c r="AC21">
        <f>VLOOKUP(F21,[2]numberFire_ppr_projections!$A:$B,2,FALSE)</f>
        <v>210.6</v>
      </c>
      <c r="AD21">
        <f>VLOOKUP(F21,[3]rotoballer_ppr_projections!$B:$G,6,FALSE)</f>
        <v>263</v>
      </c>
      <c r="AE21">
        <f>VLOOKUP(F21,[4]ppr!$B:$E,4,FALSE)</f>
        <v>253.11796150612943</v>
      </c>
      <c r="AF21">
        <f>VLOOKUP(F21,[4]half_ppr!$B:$E,4,FALSE)</f>
        <v>239.62629416200943</v>
      </c>
      <c r="AG21">
        <f>VLOOKUP(F21,[4]std!$B:$E,4,FALSE)</f>
        <v>226.13462681788943</v>
      </c>
      <c r="AH21">
        <f>IFERROR(VLOOKUP(F21,[5]actual_week11_ppr_stats!$A:$B,2,FALSE),0)</f>
        <v>271.89999999999998</v>
      </c>
    </row>
    <row r="22" spans="1:34" x14ac:dyDescent="0.2">
      <c r="A22">
        <v>21</v>
      </c>
      <c r="B22">
        <v>21136</v>
      </c>
      <c r="C22" t="s">
        <v>44</v>
      </c>
      <c r="D22" t="str" cm="1">
        <f t="array" ref="D22:E22">_xlfn.TEXTSPLIT(C22, ", ")</f>
        <v>Irving</v>
      </c>
      <c r="E22" t="str">
        <v>Bucky</v>
      </c>
      <c r="F22" t="str">
        <f t="shared" si="0"/>
        <v>Bucky Irving</v>
      </c>
      <c r="G22" t="s">
        <v>45</v>
      </c>
      <c r="H22" t="s">
        <v>12</v>
      </c>
      <c r="I22">
        <v>20.04</v>
      </c>
      <c r="J22">
        <v>11</v>
      </c>
      <c r="K22">
        <v>31</v>
      </c>
      <c r="L22">
        <f>VLOOKUP(G22,byes!$A:$B,2,FALSE)</f>
        <v>9</v>
      </c>
      <c r="M22">
        <f t="shared" si="1"/>
        <v>0</v>
      </c>
      <c r="N22">
        <f t="shared" si="2"/>
        <v>0</v>
      </c>
      <c r="O22">
        <f t="shared" si="3"/>
        <v>0</v>
      </c>
      <c r="P22">
        <f t="shared" si="4"/>
        <v>0</v>
      </c>
      <c r="Q22">
        <f t="shared" si="5"/>
        <v>1</v>
      </c>
      <c r="R22">
        <f t="shared" si="6"/>
        <v>0</v>
      </c>
      <c r="S22">
        <f t="shared" si="7"/>
        <v>0</v>
      </c>
      <c r="T22">
        <f t="shared" si="8"/>
        <v>0</v>
      </c>
      <c r="U22">
        <f t="shared" si="9"/>
        <v>0</v>
      </c>
      <c r="V22">
        <f t="shared" si="10"/>
        <v>0</v>
      </c>
      <c r="W22">
        <f t="shared" si="11"/>
        <v>1</v>
      </c>
      <c r="X22">
        <f t="shared" si="12"/>
        <v>0</v>
      </c>
      <c r="Y22">
        <f t="shared" si="13"/>
        <v>0</v>
      </c>
      <c r="Z22">
        <f t="shared" si="14"/>
        <v>1</v>
      </c>
      <c r="AA22">
        <v>1</v>
      </c>
      <c r="AB22">
        <f>VLOOKUP(F22,[1]pff_ppr_projections!$B:$D,3,FALSE)</f>
        <v>281.8</v>
      </c>
      <c r="AC22">
        <f>VLOOKUP(F22,[2]numberFire_ppr_projections!$A:$B,2,FALSE)</f>
        <v>212.2</v>
      </c>
      <c r="AD22">
        <f>VLOOKUP(F22,[3]rotoballer_ppr_projections!$B:$G,6,FALSE)</f>
        <v>259</v>
      </c>
      <c r="AE22">
        <f>VLOOKUP(F22,[4]ppr!$B:$E,4,FALSE)</f>
        <v>284.75845293718044</v>
      </c>
      <c r="AF22">
        <f>VLOOKUP(F22,[4]half_ppr!$B:$E,4,FALSE)</f>
        <v>262.6742505295004</v>
      </c>
      <c r="AG22">
        <f>VLOOKUP(F22,[4]std!$B:$E,4,FALSE)</f>
        <v>240.59004812182042</v>
      </c>
      <c r="AH22">
        <f>IFERROR(VLOOKUP(F22,[5]actual_week11_ppr_stats!$A:$B,2,FALSE),0)</f>
        <v>74</v>
      </c>
    </row>
    <row r="23" spans="1:34" x14ac:dyDescent="0.2">
      <c r="A23">
        <v>22</v>
      </c>
      <c r="B23">
        <v>21123</v>
      </c>
      <c r="C23" t="s">
        <v>46</v>
      </c>
      <c r="D23" t="str" cm="1">
        <f t="array" ref="D23:E23">_xlfn.TEXTSPLIT(C23, ", ")</f>
        <v>Bowers</v>
      </c>
      <c r="E23" t="str">
        <v>Brock</v>
      </c>
      <c r="F23" t="str">
        <f t="shared" si="0"/>
        <v>Brock Bowers</v>
      </c>
      <c r="G23" t="s">
        <v>30</v>
      </c>
      <c r="H23" t="s">
        <v>47</v>
      </c>
      <c r="I23">
        <v>20.75</v>
      </c>
      <c r="J23">
        <v>13</v>
      </c>
      <c r="K23">
        <v>29</v>
      </c>
      <c r="L23">
        <f>VLOOKUP(G23,byes!$A:$B,2,FALSE)</f>
        <v>8</v>
      </c>
      <c r="M23">
        <f t="shared" si="1"/>
        <v>0</v>
      </c>
      <c r="N23">
        <f t="shared" si="2"/>
        <v>0</v>
      </c>
      <c r="O23">
        <f t="shared" si="3"/>
        <v>0</v>
      </c>
      <c r="P23">
        <f t="shared" si="4"/>
        <v>1</v>
      </c>
      <c r="Q23">
        <f t="shared" si="5"/>
        <v>0</v>
      </c>
      <c r="R23">
        <f t="shared" si="6"/>
        <v>0</v>
      </c>
      <c r="S23">
        <f t="shared" si="7"/>
        <v>0</v>
      </c>
      <c r="T23">
        <f t="shared" si="8"/>
        <v>0</v>
      </c>
      <c r="U23">
        <f t="shared" si="9"/>
        <v>0</v>
      </c>
      <c r="V23">
        <f t="shared" si="10"/>
        <v>0</v>
      </c>
      <c r="W23">
        <f t="shared" si="11"/>
        <v>0</v>
      </c>
      <c r="X23">
        <f t="shared" si="12"/>
        <v>0</v>
      </c>
      <c r="Y23">
        <f t="shared" si="13"/>
        <v>1</v>
      </c>
      <c r="Z23">
        <f t="shared" si="14"/>
        <v>1</v>
      </c>
      <c r="AA23">
        <v>1</v>
      </c>
      <c r="AB23">
        <f>VLOOKUP(F23,[1]pff_ppr_projections!$B:$D,3,FALSE)</f>
        <v>245.9</v>
      </c>
      <c r="AC23">
        <f>VLOOKUP(F23,[2]numberFire_ppr_projections!$A:$B,2,FALSE)</f>
        <v>270.60000000000002</v>
      </c>
      <c r="AD23">
        <f>VLOOKUP(F23,[3]rotoballer_ppr_projections!$B:$G,6,FALSE)</f>
        <v>257</v>
      </c>
      <c r="AE23">
        <f>VLOOKUP(F23,[4]ppr!$B:$E,4,FALSE)</f>
        <v>263.99259804153604</v>
      </c>
      <c r="AF23">
        <f>VLOOKUP(F23,[4]half_ppr!$B:$E,4,FALSE)</f>
        <v>211.383471289536</v>
      </c>
      <c r="AG23">
        <f>VLOOKUP(F23,[4]std!$B:$E,4,FALSE)</f>
        <v>158.774344537536</v>
      </c>
      <c r="AH23">
        <f>IFERROR(VLOOKUP(F23,[5]actual_week11_ppr_stats!$A:$B,2,FALSE),0)</f>
        <v>102.7</v>
      </c>
    </row>
    <row r="24" spans="1:34" x14ac:dyDescent="0.2">
      <c r="A24">
        <v>23</v>
      </c>
      <c r="B24">
        <v>21139</v>
      </c>
      <c r="C24" t="s">
        <v>48</v>
      </c>
      <c r="D24" t="str" cm="1">
        <f t="array" ref="D24:E24">_xlfn.TEXTSPLIT(C24, ", ")</f>
        <v>McConkey</v>
      </c>
      <c r="E24" t="str">
        <v>Ladd</v>
      </c>
      <c r="F24" t="str">
        <f t="shared" si="0"/>
        <v>Ladd McConkey</v>
      </c>
      <c r="G24" t="s">
        <v>49</v>
      </c>
      <c r="H24" t="s">
        <v>9</v>
      </c>
      <c r="I24">
        <v>22</v>
      </c>
      <c r="J24">
        <v>14</v>
      </c>
      <c r="K24">
        <v>29</v>
      </c>
      <c r="L24">
        <f>VLOOKUP(G24,byes!$A:$B,2,FALSE)</f>
        <v>12</v>
      </c>
      <c r="M24">
        <f t="shared" si="1"/>
        <v>0</v>
      </c>
      <c r="N24">
        <f t="shared" si="2"/>
        <v>0</v>
      </c>
      <c r="O24">
        <f t="shared" si="3"/>
        <v>0</v>
      </c>
      <c r="P24">
        <f t="shared" si="4"/>
        <v>0</v>
      </c>
      <c r="Q24">
        <f t="shared" si="5"/>
        <v>0</v>
      </c>
      <c r="R24">
        <f t="shared" si="6"/>
        <v>0</v>
      </c>
      <c r="S24">
        <f t="shared" si="7"/>
        <v>0</v>
      </c>
      <c r="T24">
        <f t="shared" si="8"/>
        <v>1</v>
      </c>
      <c r="U24">
        <f t="shared" si="9"/>
        <v>0</v>
      </c>
      <c r="V24">
        <f t="shared" si="10"/>
        <v>0</v>
      </c>
      <c r="W24">
        <f t="shared" si="11"/>
        <v>0</v>
      </c>
      <c r="X24">
        <f t="shared" si="12"/>
        <v>1</v>
      </c>
      <c r="Y24">
        <f t="shared" si="13"/>
        <v>0</v>
      </c>
      <c r="Z24">
        <f t="shared" si="14"/>
        <v>1</v>
      </c>
      <c r="AA24">
        <v>1</v>
      </c>
      <c r="AB24">
        <f>VLOOKUP(F24,[1]pff_ppr_projections!$B:$D,3,FALSE)</f>
        <v>249.7</v>
      </c>
      <c r="AC24">
        <f>VLOOKUP(F24,[2]numberFire_ppr_projections!$A:$B,2,FALSE)</f>
        <v>284.3</v>
      </c>
      <c r="AD24">
        <f>VLOOKUP(F24,[3]rotoballer_ppr_projections!$B:$G,6,FALSE)</f>
        <v>245</v>
      </c>
      <c r="AE24">
        <f>VLOOKUP(F24,[4]ppr!$B:$E,4,FALSE)</f>
        <v>246.37287725033198</v>
      </c>
      <c r="AF24">
        <f>VLOOKUP(F24,[4]half_ppr!$B:$E,4,FALSE)</f>
        <v>202.14076284273199</v>
      </c>
      <c r="AG24">
        <f>VLOOKUP(F24,[4]std!$B:$E,4,FALSE)</f>
        <v>157.90864843513199</v>
      </c>
      <c r="AH24">
        <f>IFERROR(VLOOKUP(F24,[5]actual_week11_ppr_stats!$A:$B,2,FALSE),0)</f>
        <v>142.4</v>
      </c>
    </row>
    <row r="25" spans="1:34" x14ac:dyDescent="0.2">
      <c r="A25">
        <v>24</v>
      </c>
      <c r="B25">
        <v>20273</v>
      </c>
      <c r="C25" t="s">
        <v>50</v>
      </c>
      <c r="D25" t="str" cm="1">
        <f t="array" ref="D25:E25">_xlfn.TEXTSPLIT(C25, ", ")</f>
        <v>Smith-Njigba</v>
      </c>
      <c r="E25" t="str">
        <v>Jaxon</v>
      </c>
      <c r="F25" t="str">
        <f t="shared" si="0"/>
        <v>Jaxon Smith-Njigba</v>
      </c>
      <c r="G25" t="s">
        <v>51</v>
      </c>
      <c r="H25" t="s">
        <v>9</v>
      </c>
      <c r="I25">
        <v>26.5</v>
      </c>
      <c r="J25">
        <v>21</v>
      </c>
      <c r="K25">
        <v>35</v>
      </c>
      <c r="L25">
        <f>VLOOKUP(G25,byes!$A:$B,2,FALSE)</f>
        <v>8</v>
      </c>
      <c r="M25">
        <f t="shared" si="1"/>
        <v>0</v>
      </c>
      <c r="N25">
        <f t="shared" si="2"/>
        <v>0</v>
      </c>
      <c r="O25">
        <f t="shared" si="3"/>
        <v>0</v>
      </c>
      <c r="P25">
        <f t="shared" si="4"/>
        <v>1</v>
      </c>
      <c r="Q25">
        <f t="shared" si="5"/>
        <v>0</v>
      </c>
      <c r="R25">
        <f t="shared" si="6"/>
        <v>0</v>
      </c>
      <c r="S25">
        <f t="shared" si="7"/>
        <v>0</v>
      </c>
      <c r="T25">
        <f t="shared" si="8"/>
        <v>0</v>
      </c>
      <c r="U25">
        <f t="shared" si="9"/>
        <v>0</v>
      </c>
      <c r="V25">
        <f t="shared" si="10"/>
        <v>0</v>
      </c>
      <c r="W25">
        <f t="shared" si="11"/>
        <v>0</v>
      </c>
      <c r="X25">
        <f t="shared" si="12"/>
        <v>1</v>
      </c>
      <c r="Y25">
        <f t="shared" si="13"/>
        <v>0</v>
      </c>
      <c r="Z25">
        <f t="shared" si="14"/>
        <v>1</v>
      </c>
      <c r="AA25">
        <f t="shared" si="15"/>
        <v>1</v>
      </c>
      <c r="AB25">
        <f>VLOOKUP(F25,[1]pff_ppr_projections!$B:$D,3,FALSE)</f>
        <v>217.9</v>
      </c>
      <c r="AC25">
        <f>VLOOKUP(F25,[2]numberFire_ppr_projections!$A:$B,2,FALSE)</f>
        <v>279.3</v>
      </c>
      <c r="AD25">
        <f>VLOOKUP(F25,[3]rotoballer_ppr_projections!$B:$G,6,FALSE)</f>
        <v>250</v>
      </c>
      <c r="AE25">
        <f>VLOOKUP(F25,[4]ppr!$B:$E,4,FALSE)</f>
        <v>264.97752903638008</v>
      </c>
      <c r="AF25">
        <f>VLOOKUP(F25,[4]half_ppr!$B:$E,4,FALSE)</f>
        <v>217.28538918102009</v>
      </c>
      <c r="AG25">
        <f>VLOOKUP(F25,[4]std!$B:$E,4,FALSE)</f>
        <v>169.59324932566011</v>
      </c>
      <c r="AH25">
        <f>IFERROR(VLOOKUP(F25,[5]actual_week11_ppr_stats!$A:$B,2,FALSE),0)</f>
        <v>219.9</v>
      </c>
    </row>
    <row r="26" spans="1:34" x14ac:dyDescent="0.2">
      <c r="A26">
        <v>25</v>
      </c>
      <c r="B26">
        <v>17971</v>
      </c>
      <c r="C26" t="s">
        <v>52</v>
      </c>
      <c r="D26" t="str" cm="1">
        <f t="array" ref="D26:E26">_xlfn.TEXTSPLIT(C26, ", ")</f>
        <v>Higgins</v>
      </c>
      <c r="E26" t="str">
        <v>Tee</v>
      </c>
      <c r="F26" t="str">
        <f t="shared" si="0"/>
        <v>Tee Higgins</v>
      </c>
      <c r="G26" t="s">
        <v>8</v>
      </c>
      <c r="H26" t="s">
        <v>9</v>
      </c>
      <c r="I26">
        <v>27.2</v>
      </c>
      <c r="J26">
        <v>17</v>
      </c>
      <c r="K26">
        <v>35</v>
      </c>
      <c r="L26">
        <f>VLOOKUP(G26,byes!$A:$B,2,FALSE)</f>
        <v>10</v>
      </c>
      <c r="M26">
        <f t="shared" si="1"/>
        <v>0</v>
      </c>
      <c r="N26">
        <f t="shared" si="2"/>
        <v>0</v>
      </c>
      <c r="O26">
        <f t="shared" si="3"/>
        <v>0</v>
      </c>
      <c r="P26">
        <f t="shared" si="4"/>
        <v>0</v>
      </c>
      <c r="Q26">
        <f t="shared" si="5"/>
        <v>0</v>
      </c>
      <c r="R26">
        <f t="shared" si="6"/>
        <v>1</v>
      </c>
      <c r="S26">
        <f t="shared" si="7"/>
        <v>0</v>
      </c>
      <c r="T26">
        <f t="shared" si="8"/>
        <v>0</v>
      </c>
      <c r="U26">
        <f t="shared" si="9"/>
        <v>0</v>
      </c>
      <c r="V26">
        <f t="shared" si="10"/>
        <v>0</v>
      </c>
      <c r="W26">
        <f t="shared" si="11"/>
        <v>0</v>
      </c>
      <c r="X26">
        <f t="shared" si="12"/>
        <v>1</v>
      </c>
      <c r="Y26">
        <f t="shared" si="13"/>
        <v>0</v>
      </c>
      <c r="Z26">
        <f t="shared" si="14"/>
        <v>1</v>
      </c>
      <c r="AA26">
        <v>1</v>
      </c>
      <c r="AB26">
        <f>VLOOKUP(F26,[1]pff_ppr_projections!$B:$D,3,FALSE)</f>
        <v>245.7</v>
      </c>
      <c r="AC26">
        <f>VLOOKUP(F26,[2]numberFire_ppr_projections!$A:$B,2,FALSE)</f>
        <v>263.60000000000002</v>
      </c>
      <c r="AD26">
        <f>VLOOKUP(F26,[3]rotoballer_ppr_projections!$B:$G,6,FALSE)</f>
        <v>257</v>
      </c>
      <c r="AE26">
        <f>VLOOKUP(F26,[4]ppr!$B:$E,4,FALSE)</f>
        <v>257.99093396534641</v>
      </c>
      <c r="AF26">
        <f>VLOOKUP(F26,[4]half_ppr!$B:$E,4,FALSE)</f>
        <v>214.0850568439464</v>
      </c>
      <c r="AG26">
        <f>VLOOKUP(F26,[4]std!$B:$E,4,FALSE)</f>
        <v>170.17917972254642</v>
      </c>
      <c r="AH26">
        <f>IFERROR(VLOOKUP(F26,[5]actual_week11_ppr_stats!$A:$B,2,FALSE),0)</f>
        <v>131.4</v>
      </c>
    </row>
    <row r="27" spans="1:34" x14ac:dyDescent="0.2">
      <c r="A27">
        <v>26</v>
      </c>
      <c r="B27">
        <v>19450</v>
      </c>
      <c r="C27" t="s">
        <v>53</v>
      </c>
      <c r="D27" t="str" cm="1">
        <f t="array" ref="D27:E27">_xlfn.TEXTSPLIT(C27, ", ")</f>
        <v>Williams</v>
      </c>
      <c r="E27" t="str">
        <v>Kyren</v>
      </c>
      <c r="F27" t="str">
        <f t="shared" si="0"/>
        <v>Kyren Williams</v>
      </c>
      <c r="G27" t="s">
        <v>35</v>
      </c>
      <c r="H27" t="s">
        <v>12</v>
      </c>
      <c r="I27">
        <v>27.34</v>
      </c>
      <c r="J27">
        <v>17</v>
      </c>
      <c r="K27">
        <v>43</v>
      </c>
      <c r="L27">
        <f>VLOOKUP(G27,byes!$A:$B,2,FALSE)</f>
        <v>8</v>
      </c>
      <c r="M27">
        <f t="shared" si="1"/>
        <v>0</v>
      </c>
      <c r="N27">
        <f t="shared" si="2"/>
        <v>0</v>
      </c>
      <c r="O27">
        <f t="shared" si="3"/>
        <v>0</v>
      </c>
      <c r="P27">
        <f t="shared" si="4"/>
        <v>1</v>
      </c>
      <c r="Q27">
        <f t="shared" si="5"/>
        <v>0</v>
      </c>
      <c r="R27">
        <f t="shared" si="6"/>
        <v>0</v>
      </c>
      <c r="S27">
        <f t="shared" si="7"/>
        <v>0</v>
      </c>
      <c r="T27">
        <f t="shared" si="8"/>
        <v>0</v>
      </c>
      <c r="U27">
        <f t="shared" si="9"/>
        <v>0</v>
      </c>
      <c r="V27">
        <f t="shared" si="10"/>
        <v>0</v>
      </c>
      <c r="W27">
        <f t="shared" si="11"/>
        <v>1</v>
      </c>
      <c r="X27">
        <f t="shared" si="12"/>
        <v>0</v>
      </c>
      <c r="Y27">
        <f t="shared" si="13"/>
        <v>0</v>
      </c>
      <c r="Z27">
        <f t="shared" si="14"/>
        <v>1</v>
      </c>
      <c r="AA27">
        <v>1</v>
      </c>
      <c r="AB27">
        <f>VLOOKUP(F27,[1]pff_ppr_projections!$B:$D,3,FALSE)</f>
        <v>241.9</v>
      </c>
      <c r="AC27">
        <f>VLOOKUP(F27,[2]numberFire_ppr_projections!$A:$B,2,FALSE)</f>
        <v>208.4</v>
      </c>
      <c r="AD27">
        <f>VLOOKUP(F27,[3]rotoballer_ppr_projections!$B:$G,6,FALSE)</f>
        <v>245</v>
      </c>
      <c r="AE27">
        <f>VLOOKUP(F27,[4]ppr!$B:$E,4,FALSE)</f>
        <v>253.03848494454735</v>
      </c>
      <c r="AF27">
        <f>VLOOKUP(F27,[4]half_ppr!$B:$E,4,FALSE)</f>
        <v>238.93115530890208</v>
      </c>
      <c r="AG27">
        <f>VLOOKUP(F27,[4]std!$B:$E,4,FALSE)</f>
        <v>224.82382567325683</v>
      </c>
      <c r="AH27">
        <f>IFERROR(VLOOKUP(F27,[5]actual_week11_ppr_stats!$A:$B,2,FALSE),0)</f>
        <v>170.2</v>
      </c>
    </row>
    <row r="28" spans="1:34" x14ac:dyDescent="0.2">
      <c r="A28">
        <v>27</v>
      </c>
      <c r="B28">
        <v>19439</v>
      </c>
      <c r="C28" t="s">
        <v>54</v>
      </c>
      <c r="D28" t="str" cm="1">
        <f t="array" ref="D28:E28">_xlfn.TEXTSPLIT(C28, ", ")</f>
        <v>McBride</v>
      </c>
      <c r="E28" t="str">
        <v>Trey</v>
      </c>
      <c r="F28" t="str">
        <f t="shared" si="0"/>
        <v>Trey McBride</v>
      </c>
      <c r="G28" t="s">
        <v>55</v>
      </c>
      <c r="H28" t="s">
        <v>47</v>
      </c>
      <c r="I28">
        <v>28</v>
      </c>
      <c r="J28">
        <v>20</v>
      </c>
      <c r="K28">
        <v>40</v>
      </c>
      <c r="L28">
        <f>VLOOKUP(G28,byes!$A:$B,2,FALSE)</f>
        <v>8</v>
      </c>
      <c r="M28">
        <f t="shared" si="1"/>
        <v>0</v>
      </c>
      <c r="N28">
        <f t="shared" si="2"/>
        <v>0</v>
      </c>
      <c r="O28">
        <f t="shared" si="3"/>
        <v>0</v>
      </c>
      <c r="P28">
        <f t="shared" si="4"/>
        <v>1</v>
      </c>
      <c r="Q28">
        <f t="shared" si="5"/>
        <v>0</v>
      </c>
      <c r="R28">
        <f t="shared" si="6"/>
        <v>0</v>
      </c>
      <c r="S28">
        <f t="shared" si="7"/>
        <v>0</v>
      </c>
      <c r="T28">
        <f t="shared" si="8"/>
        <v>0</v>
      </c>
      <c r="U28">
        <f t="shared" si="9"/>
        <v>0</v>
      </c>
      <c r="V28">
        <f t="shared" si="10"/>
        <v>0</v>
      </c>
      <c r="W28">
        <f t="shared" si="11"/>
        <v>0</v>
      </c>
      <c r="X28">
        <f t="shared" si="12"/>
        <v>0</v>
      </c>
      <c r="Y28">
        <f t="shared" si="13"/>
        <v>1</v>
      </c>
      <c r="Z28">
        <f t="shared" si="14"/>
        <v>1</v>
      </c>
      <c r="AA28">
        <v>1</v>
      </c>
      <c r="AB28">
        <f>VLOOKUP(F28,[1]pff_ppr_projections!$B:$D,3,FALSE)</f>
        <v>235.9</v>
      </c>
      <c r="AC28">
        <f>VLOOKUP(F28,[2]numberFire_ppr_projections!$A:$B,2,FALSE)</f>
        <v>242</v>
      </c>
      <c r="AD28">
        <f>VLOOKUP(F28,[3]rotoballer_ppr_projections!$B:$G,6,FALSE)</f>
        <v>234</v>
      </c>
      <c r="AE28">
        <f>VLOOKUP(F28,[4]ppr!$B:$E,4,FALSE)</f>
        <v>243.64618012269398</v>
      </c>
      <c r="AF28">
        <f>VLOOKUP(F28,[4]half_ppr!$B:$E,4,FALSE)</f>
        <v>193.69821371787765</v>
      </c>
      <c r="AG28">
        <f>VLOOKUP(F28,[4]std!$B:$E,4,FALSE)</f>
        <v>143.75024731306135</v>
      </c>
      <c r="AH28">
        <f>IFERROR(VLOOKUP(F28,[5]actual_week11_ppr_stats!$A:$B,2,FALSE),0)</f>
        <v>184.8</v>
      </c>
    </row>
    <row r="29" spans="1:34" x14ac:dyDescent="0.2">
      <c r="A29">
        <v>28</v>
      </c>
      <c r="B29">
        <v>16081</v>
      </c>
      <c r="C29" t="s">
        <v>56</v>
      </c>
      <c r="D29" t="str" cm="1">
        <f t="array" ref="D29:E29">_xlfn.TEXTSPLIT(C29, ", ")</f>
        <v>Jackson</v>
      </c>
      <c r="E29" t="str">
        <v>Lamar</v>
      </c>
      <c r="F29" t="str">
        <f t="shared" si="0"/>
        <v>Lamar Jackson</v>
      </c>
      <c r="G29" t="s">
        <v>33</v>
      </c>
      <c r="H29" t="s">
        <v>57</v>
      </c>
      <c r="I29">
        <v>28.91</v>
      </c>
      <c r="J29">
        <v>17</v>
      </c>
      <c r="K29">
        <v>38</v>
      </c>
      <c r="L29">
        <f>VLOOKUP(G29,byes!$A:$B,2,FALSE)</f>
        <v>7</v>
      </c>
      <c r="M29">
        <f t="shared" si="1"/>
        <v>0</v>
      </c>
      <c r="N29">
        <f t="shared" si="2"/>
        <v>0</v>
      </c>
      <c r="O29">
        <f t="shared" si="3"/>
        <v>1</v>
      </c>
      <c r="P29">
        <f t="shared" si="4"/>
        <v>0</v>
      </c>
      <c r="Q29">
        <f t="shared" si="5"/>
        <v>0</v>
      </c>
      <c r="R29">
        <f t="shared" si="6"/>
        <v>0</v>
      </c>
      <c r="S29">
        <f t="shared" si="7"/>
        <v>0</v>
      </c>
      <c r="T29">
        <f t="shared" si="8"/>
        <v>0</v>
      </c>
      <c r="U29">
        <f t="shared" si="9"/>
        <v>0</v>
      </c>
      <c r="V29">
        <f t="shared" si="10"/>
        <v>1</v>
      </c>
      <c r="W29">
        <f t="shared" si="11"/>
        <v>0</v>
      </c>
      <c r="X29">
        <f t="shared" si="12"/>
        <v>0</v>
      </c>
      <c r="Y29">
        <f t="shared" si="13"/>
        <v>0</v>
      </c>
      <c r="Z29">
        <f t="shared" si="14"/>
        <v>0</v>
      </c>
      <c r="AA29">
        <f t="shared" si="15"/>
        <v>1</v>
      </c>
      <c r="AB29">
        <f>VLOOKUP(F29,[1]pff_ppr_projections!$B:$D,3,FALSE)</f>
        <v>338.5</v>
      </c>
      <c r="AC29">
        <f>VLOOKUP(F29,[2]numberFire_ppr_projections!$A:$B,2,FALSE)</f>
        <v>384.1</v>
      </c>
      <c r="AD29">
        <f>VLOOKUP(F29,[3]rotoballer_ppr_projections!$B:$G,6,FALSE)</f>
        <v>359</v>
      </c>
      <c r="AE29">
        <f>VLOOKUP(F29,[4]ppr!$B:$E,4,FALSE)</f>
        <v>382.58688114878112</v>
      </c>
      <c r="AF29">
        <f>VLOOKUP(F29,[4]half_ppr!$B:$E,4,FALSE)</f>
        <v>382.58688114878112</v>
      </c>
      <c r="AG29">
        <f>VLOOKUP(F29,[4]std!$B:$E,4,FALSE)</f>
        <v>382.58688114878112</v>
      </c>
      <c r="AH29">
        <f>IFERROR(VLOOKUP(F29,[5]actual_week11_ppr_stats!$A:$B,2,FALSE),0)</f>
        <v>143.30000000000001</v>
      </c>
    </row>
    <row r="30" spans="1:34" x14ac:dyDescent="0.2">
      <c r="A30">
        <v>29</v>
      </c>
      <c r="B30">
        <v>22069</v>
      </c>
      <c r="C30" t="s">
        <v>58</v>
      </c>
      <c r="D30" t="str" cm="1">
        <f t="array" ref="D30:E30">_xlfn.TEXTSPLIT(C30, ", ")</f>
        <v>Hampton</v>
      </c>
      <c r="E30" t="str">
        <v>Omarion</v>
      </c>
      <c r="F30" t="str">
        <f t="shared" si="0"/>
        <v>Omarion Hampton</v>
      </c>
      <c r="G30" t="s">
        <v>49</v>
      </c>
      <c r="H30" t="s">
        <v>12</v>
      </c>
      <c r="I30">
        <v>30.17</v>
      </c>
      <c r="J30">
        <v>8</v>
      </c>
      <c r="K30">
        <v>46</v>
      </c>
      <c r="L30">
        <f>VLOOKUP(G30,byes!$A:$B,2,FALSE)</f>
        <v>12</v>
      </c>
      <c r="M30">
        <f t="shared" si="1"/>
        <v>0</v>
      </c>
      <c r="N30">
        <f t="shared" si="2"/>
        <v>0</v>
      </c>
      <c r="O30">
        <f t="shared" si="3"/>
        <v>0</v>
      </c>
      <c r="P30">
        <f t="shared" si="4"/>
        <v>0</v>
      </c>
      <c r="Q30">
        <f t="shared" si="5"/>
        <v>0</v>
      </c>
      <c r="R30">
        <f t="shared" si="6"/>
        <v>0</v>
      </c>
      <c r="S30">
        <f t="shared" si="7"/>
        <v>0</v>
      </c>
      <c r="T30">
        <f t="shared" si="8"/>
        <v>1</v>
      </c>
      <c r="U30">
        <f t="shared" si="9"/>
        <v>0</v>
      </c>
      <c r="V30">
        <f t="shared" si="10"/>
        <v>0</v>
      </c>
      <c r="W30">
        <f t="shared" si="11"/>
        <v>1</v>
      </c>
      <c r="X30">
        <f t="shared" si="12"/>
        <v>0</v>
      </c>
      <c r="Y30">
        <f t="shared" si="13"/>
        <v>0</v>
      </c>
      <c r="Z30">
        <f t="shared" si="14"/>
        <v>1</v>
      </c>
      <c r="AA30">
        <v>1</v>
      </c>
      <c r="AB30">
        <f>VLOOKUP(F30,[1]pff_ppr_projections!$B:$D,3,FALSE)</f>
        <v>227.9</v>
      </c>
      <c r="AC30">
        <f>VLOOKUP(F30,[2]numberFire_ppr_projections!$A:$B,2,FALSE)</f>
        <v>206.7</v>
      </c>
      <c r="AD30">
        <f>VLOOKUP(F30,[3]rotoballer_ppr_projections!$B:$G,6,FALSE)</f>
        <v>207</v>
      </c>
      <c r="AE30">
        <f>VLOOKUP(F30,[4]ppr!$B:$E,4,FALSE)</f>
        <v>241.51947708391995</v>
      </c>
      <c r="AF30">
        <f>VLOOKUP(F30,[4]half_ppr!$B:$E,4,FALSE)</f>
        <v>225.64364162591997</v>
      </c>
      <c r="AG30">
        <f>VLOOKUP(F30,[4]std!$B:$E,4,FALSE)</f>
        <v>209.76780616791996</v>
      </c>
      <c r="AH30">
        <f>IFERROR(VLOOKUP(F30,[5]actual_week11_ppr_stats!$A:$B,2,FALSE),0)</f>
        <v>77</v>
      </c>
    </row>
    <row r="31" spans="1:34" x14ac:dyDescent="0.2">
      <c r="A31">
        <v>30</v>
      </c>
      <c r="B31">
        <v>16074</v>
      </c>
      <c r="C31" t="s">
        <v>59</v>
      </c>
      <c r="D31" t="str" cm="1">
        <f t="array" ref="D31:E31">_xlfn.TEXTSPLIT(C31, ", ")</f>
        <v>Allen</v>
      </c>
      <c r="E31" t="str">
        <v>Josh</v>
      </c>
      <c r="F31" t="str">
        <f t="shared" si="0"/>
        <v>Josh Allen</v>
      </c>
      <c r="G31" t="s">
        <v>60</v>
      </c>
      <c r="H31" t="s">
        <v>57</v>
      </c>
      <c r="I31">
        <v>30.8</v>
      </c>
      <c r="J31">
        <v>23</v>
      </c>
      <c r="K31">
        <v>42</v>
      </c>
      <c r="L31">
        <f>VLOOKUP(G31,byes!$A:$B,2,FALSE)</f>
        <v>7</v>
      </c>
      <c r="M31">
        <f t="shared" si="1"/>
        <v>0</v>
      </c>
      <c r="N31">
        <f t="shared" si="2"/>
        <v>0</v>
      </c>
      <c r="O31">
        <f t="shared" si="3"/>
        <v>1</v>
      </c>
      <c r="P31">
        <f t="shared" si="4"/>
        <v>0</v>
      </c>
      <c r="Q31">
        <f t="shared" si="5"/>
        <v>0</v>
      </c>
      <c r="R31">
        <f t="shared" si="6"/>
        <v>0</v>
      </c>
      <c r="S31">
        <f t="shared" si="7"/>
        <v>0</v>
      </c>
      <c r="T31">
        <f t="shared" si="8"/>
        <v>0</v>
      </c>
      <c r="U31">
        <f t="shared" si="9"/>
        <v>0</v>
      </c>
      <c r="V31">
        <f t="shared" si="10"/>
        <v>1</v>
      </c>
      <c r="W31">
        <f t="shared" si="11"/>
        <v>0</v>
      </c>
      <c r="X31">
        <f t="shared" si="12"/>
        <v>0</v>
      </c>
      <c r="Y31">
        <f t="shared" si="13"/>
        <v>0</v>
      </c>
      <c r="Z31">
        <f t="shared" si="14"/>
        <v>0</v>
      </c>
      <c r="AA31">
        <v>1</v>
      </c>
      <c r="AB31">
        <f>VLOOKUP(F31,[1]pff_ppr_projections!$B:$D,3,FALSE)</f>
        <v>341.4</v>
      </c>
      <c r="AC31">
        <f>VLOOKUP(F31,[2]numberFire_ppr_projections!$A:$B,2,FALSE)</f>
        <v>384.1</v>
      </c>
      <c r="AD31">
        <f>VLOOKUP(F31,[3]rotoballer_ppr_projections!$B:$G,6,FALSE)</f>
        <v>362</v>
      </c>
      <c r="AE31">
        <f>VLOOKUP(F31,[4]ppr!$B:$E,4,FALSE)</f>
        <v>370.47444984937704</v>
      </c>
      <c r="AF31">
        <f>VLOOKUP(F31,[4]half_ppr!$B:$E,4,FALSE)</f>
        <v>370.47444984937704</v>
      </c>
      <c r="AG31">
        <f>VLOOKUP(F31,[4]std!$B:$E,4,FALSE)</f>
        <v>370.47444984937704</v>
      </c>
      <c r="AH31">
        <f>IFERROR(VLOOKUP(F31,[5]actual_week11_ppr_stats!$A:$B,2,FALSE),0)</f>
        <v>268.5</v>
      </c>
    </row>
    <row r="32" spans="1:34" x14ac:dyDescent="0.2">
      <c r="A32">
        <v>31</v>
      </c>
      <c r="B32">
        <v>19431</v>
      </c>
      <c r="C32" t="s">
        <v>61</v>
      </c>
      <c r="D32" t="str" cm="1">
        <f t="array" ref="D32:E32">_xlfn.TEXTSPLIT(C32, ", ")</f>
        <v>Wilson</v>
      </c>
      <c r="E32" t="str">
        <v>Garrett</v>
      </c>
      <c r="F32" t="str">
        <f t="shared" si="0"/>
        <v>Garrett Wilson</v>
      </c>
      <c r="G32" t="s">
        <v>62</v>
      </c>
      <c r="H32" t="s">
        <v>9</v>
      </c>
      <c r="I32">
        <v>32.08</v>
      </c>
      <c r="J32">
        <v>19</v>
      </c>
      <c r="K32">
        <v>45</v>
      </c>
      <c r="L32">
        <f>VLOOKUP(G32,byes!$A:$B,2,FALSE)</f>
        <v>9</v>
      </c>
      <c r="M32">
        <f t="shared" si="1"/>
        <v>0</v>
      </c>
      <c r="N32">
        <f t="shared" si="2"/>
        <v>0</v>
      </c>
      <c r="O32">
        <f t="shared" si="3"/>
        <v>0</v>
      </c>
      <c r="P32">
        <f t="shared" si="4"/>
        <v>0</v>
      </c>
      <c r="Q32">
        <f t="shared" si="5"/>
        <v>1</v>
      </c>
      <c r="R32">
        <f t="shared" si="6"/>
        <v>0</v>
      </c>
      <c r="S32">
        <f t="shared" si="7"/>
        <v>0</v>
      </c>
      <c r="T32">
        <f t="shared" si="8"/>
        <v>0</v>
      </c>
      <c r="U32">
        <f t="shared" si="9"/>
        <v>0</v>
      </c>
      <c r="V32">
        <f t="shared" si="10"/>
        <v>0</v>
      </c>
      <c r="W32">
        <f t="shared" si="11"/>
        <v>0</v>
      </c>
      <c r="X32">
        <f t="shared" si="12"/>
        <v>1</v>
      </c>
      <c r="Y32">
        <f t="shared" si="13"/>
        <v>0</v>
      </c>
      <c r="Z32">
        <f t="shared" si="14"/>
        <v>1</v>
      </c>
      <c r="AA32">
        <v>1</v>
      </c>
      <c r="AB32">
        <f>VLOOKUP(F32,[1]pff_ppr_projections!$B:$D,3,FALSE)</f>
        <v>239.6</v>
      </c>
      <c r="AC32">
        <f>VLOOKUP(F32,[2]numberFire_ppr_projections!$A:$B,2,FALSE)</f>
        <v>242.9</v>
      </c>
      <c r="AD32">
        <f>VLOOKUP(F32,[3]rotoballer_ppr_projections!$B:$G,6,FALSE)</f>
        <v>237</v>
      </c>
      <c r="AE32">
        <f>VLOOKUP(F32,[4]ppr!$B:$E,4,FALSE)</f>
        <v>223.86409779942704</v>
      </c>
      <c r="AF32">
        <f>VLOOKUP(F32,[4]half_ppr!$B:$E,4,FALSE)</f>
        <v>182.77303726355569</v>
      </c>
      <c r="AG32">
        <f>VLOOKUP(F32,[4]std!$B:$E,4,FALSE)</f>
        <v>141.68197672768437</v>
      </c>
      <c r="AH32">
        <f>IFERROR(VLOOKUP(F32,[5]actual_week11_ppr_stats!$A:$B,2,FALSE),0)</f>
        <v>99.5</v>
      </c>
    </row>
    <row r="33" spans="1:34" x14ac:dyDescent="0.2">
      <c r="A33">
        <v>32</v>
      </c>
      <c r="B33">
        <v>21121</v>
      </c>
      <c r="C33" t="s">
        <v>243</v>
      </c>
      <c r="D33" t="str" cm="1">
        <f t="array" ref="D33:E33">_xlfn.TEXTSPLIT(C33, ", ")</f>
        <v>Harrison Jr.</v>
      </c>
      <c r="E33" t="str">
        <v>Marvin</v>
      </c>
      <c r="F33" t="str">
        <f t="shared" si="0"/>
        <v>Marvin Harrison Jr</v>
      </c>
      <c r="G33" t="s">
        <v>55</v>
      </c>
      <c r="H33" t="s">
        <v>9</v>
      </c>
      <c r="I33">
        <v>33.5</v>
      </c>
      <c r="J33">
        <v>22</v>
      </c>
      <c r="K33">
        <v>51</v>
      </c>
      <c r="L33">
        <f>VLOOKUP(G33,byes!$A:$B,2,FALSE)</f>
        <v>8</v>
      </c>
      <c r="M33">
        <f t="shared" si="1"/>
        <v>0</v>
      </c>
      <c r="N33">
        <f t="shared" si="2"/>
        <v>0</v>
      </c>
      <c r="O33">
        <f t="shared" si="3"/>
        <v>0</v>
      </c>
      <c r="P33">
        <f t="shared" si="4"/>
        <v>1</v>
      </c>
      <c r="Q33">
        <f t="shared" si="5"/>
        <v>0</v>
      </c>
      <c r="R33">
        <f t="shared" si="6"/>
        <v>0</v>
      </c>
      <c r="S33">
        <f t="shared" si="7"/>
        <v>0</v>
      </c>
      <c r="T33">
        <f t="shared" si="8"/>
        <v>0</v>
      </c>
      <c r="U33">
        <f t="shared" si="9"/>
        <v>0</v>
      </c>
      <c r="V33">
        <f t="shared" si="10"/>
        <v>0</v>
      </c>
      <c r="W33">
        <f t="shared" si="11"/>
        <v>0</v>
      </c>
      <c r="X33">
        <f t="shared" si="12"/>
        <v>1</v>
      </c>
      <c r="Y33">
        <f t="shared" si="13"/>
        <v>0</v>
      </c>
      <c r="Z33">
        <f t="shared" si="14"/>
        <v>1</v>
      </c>
      <c r="AA33">
        <f t="shared" si="15"/>
        <v>1</v>
      </c>
      <c r="AB33">
        <f>VLOOKUP(F33,[1]pff_ppr_projections!$B:$D,3,FALSE)</f>
        <v>233.1</v>
      </c>
      <c r="AC33">
        <f>VLOOKUP(F33,[2]numberFire_ppr_projections!$A:$B,2,FALSE)</f>
        <v>264.8</v>
      </c>
      <c r="AD33">
        <f>VLOOKUP(F33,[3]rotoballer_ppr_projections!$B:$G,6,FALSE)</f>
        <v>226</v>
      </c>
      <c r="AE33">
        <f>VLOOKUP(F33,[4]ppr!$B:$E,4,FALSE)</f>
        <v>215.12763477152322</v>
      </c>
      <c r="AF33">
        <f>VLOOKUP(F33,[4]half_ppr!$B:$E,4,FALSE)</f>
        <v>176.25383015072032</v>
      </c>
      <c r="AG33">
        <f>VLOOKUP(F33,[4]std!$B:$E,4,FALSE)</f>
        <v>137.38002552991742</v>
      </c>
      <c r="AH33">
        <f>IFERROR(VLOOKUP(F33,[5]actual_week11_ppr_stats!$A:$B,2,FALSE),0)</f>
        <v>110.5</v>
      </c>
    </row>
    <row r="34" spans="1:34" x14ac:dyDescent="0.2">
      <c r="A34">
        <v>33</v>
      </c>
      <c r="B34">
        <v>22072</v>
      </c>
      <c r="C34" t="s">
        <v>63</v>
      </c>
      <c r="D34" t="str" cm="1">
        <f t="array" ref="D34:E34">_xlfn.TEXTSPLIT(C34, ", ")</f>
        <v>Henderson</v>
      </c>
      <c r="E34" t="str">
        <v>TreVeyon</v>
      </c>
      <c r="F34" t="str">
        <f t="shared" si="0"/>
        <v>TreVeyon Henderson</v>
      </c>
      <c r="G34" t="s">
        <v>64</v>
      </c>
      <c r="H34" t="s">
        <v>12</v>
      </c>
      <c r="I34">
        <v>34.22</v>
      </c>
      <c r="J34">
        <v>21</v>
      </c>
      <c r="K34">
        <v>49</v>
      </c>
      <c r="L34">
        <f>VLOOKUP(G34,byes!$A:$B,2,FALSE)</f>
        <v>14</v>
      </c>
      <c r="M34">
        <f t="shared" si="1"/>
        <v>0</v>
      </c>
      <c r="N34">
        <f t="shared" si="2"/>
        <v>0</v>
      </c>
      <c r="O34">
        <f t="shared" si="3"/>
        <v>0</v>
      </c>
      <c r="P34">
        <f t="shared" si="4"/>
        <v>0</v>
      </c>
      <c r="Q34">
        <f t="shared" si="5"/>
        <v>0</v>
      </c>
      <c r="R34">
        <f t="shared" si="6"/>
        <v>0</v>
      </c>
      <c r="S34">
        <f t="shared" si="7"/>
        <v>0</v>
      </c>
      <c r="T34">
        <f t="shared" si="8"/>
        <v>0</v>
      </c>
      <c r="U34">
        <f t="shared" si="9"/>
        <v>1</v>
      </c>
      <c r="V34">
        <f t="shared" si="10"/>
        <v>0</v>
      </c>
      <c r="W34">
        <f t="shared" si="11"/>
        <v>1</v>
      </c>
      <c r="X34">
        <f t="shared" si="12"/>
        <v>0</v>
      </c>
      <c r="Y34">
        <f t="shared" si="13"/>
        <v>0</v>
      </c>
      <c r="Z34">
        <f t="shared" si="14"/>
        <v>1</v>
      </c>
      <c r="AA34">
        <v>1</v>
      </c>
      <c r="AB34">
        <f>VLOOKUP(F34,[1]pff_ppr_projections!$B:$D,3,FALSE)</f>
        <v>166.4</v>
      </c>
      <c r="AC34">
        <f>VLOOKUP(F34,[2]numberFire_ppr_projections!$A:$B,2,FALSE)</f>
        <v>159.69999999999999</v>
      </c>
      <c r="AD34">
        <f>VLOOKUP(F34,[3]rotoballer_ppr_projections!$B:$G,6,FALSE)</f>
        <v>198</v>
      </c>
      <c r="AE34">
        <f>VLOOKUP(F34,[4]ppr!$B:$E,4,FALSE)</f>
        <v>228.15129781456406</v>
      </c>
      <c r="AF34">
        <f>VLOOKUP(F34,[4]half_ppr!$B:$E,4,FALSE)</f>
        <v>202.62758667856406</v>
      </c>
      <c r="AG34">
        <f>VLOOKUP(F34,[4]std!$B:$E,4,FALSE)</f>
        <v>177.10387554256405</v>
      </c>
      <c r="AH34">
        <f>IFERROR(VLOOKUP(F34,[5]actual_week11_ppr_stats!$A:$B,2,FALSE),0)</f>
        <v>127.7</v>
      </c>
    </row>
    <row r="35" spans="1:34" x14ac:dyDescent="0.2">
      <c r="A35">
        <v>34</v>
      </c>
      <c r="B35">
        <v>14725</v>
      </c>
      <c r="C35" t="s">
        <v>65</v>
      </c>
      <c r="D35" t="str" cm="1">
        <f t="array" ref="D35:E35">_xlfn.TEXTSPLIT(C35, ", ")</f>
        <v>Hill</v>
      </c>
      <c r="E35" t="str">
        <v>Tyreek</v>
      </c>
      <c r="F35" t="str">
        <f t="shared" si="0"/>
        <v>Tyreek Hill</v>
      </c>
      <c r="G35" t="s">
        <v>38</v>
      </c>
      <c r="H35" t="s">
        <v>9</v>
      </c>
      <c r="I35">
        <v>34.68</v>
      </c>
      <c r="J35">
        <v>20</v>
      </c>
      <c r="K35">
        <v>46</v>
      </c>
      <c r="L35">
        <f>VLOOKUP(G35,byes!$A:$B,2,FALSE)</f>
        <v>12</v>
      </c>
      <c r="M35">
        <f t="shared" si="1"/>
        <v>0</v>
      </c>
      <c r="N35">
        <f t="shared" si="2"/>
        <v>0</v>
      </c>
      <c r="O35">
        <f t="shared" si="3"/>
        <v>0</v>
      </c>
      <c r="P35">
        <f t="shared" si="4"/>
        <v>0</v>
      </c>
      <c r="Q35">
        <f t="shared" si="5"/>
        <v>0</v>
      </c>
      <c r="R35">
        <f t="shared" si="6"/>
        <v>0</v>
      </c>
      <c r="S35">
        <f t="shared" si="7"/>
        <v>0</v>
      </c>
      <c r="T35">
        <f t="shared" si="8"/>
        <v>1</v>
      </c>
      <c r="U35">
        <f t="shared" si="9"/>
        <v>0</v>
      </c>
      <c r="V35">
        <f t="shared" si="10"/>
        <v>0</v>
      </c>
      <c r="W35">
        <f t="shared" si="11"/>
        <v>0</v>
      </c>
      <c r="X35">
        <f t="shared" si="12"/>
        <v>1</v>
      </c>
      <c r="Y35">
        <f t="shared" si="13"/>
        <v>0</v>
      </c>
      <c r="Z35">
        <f t="shared" si="14"/>
        <v>1</v>
      </c>
      <c r="AA35">
        <v>1</v>
      </c>
      <c r="AB35">
        <f>VLOOKUP(F35,[1]pff_ppr_projections!$B:$D,3,FALSE)</f>
        <v>217.9</v>
      </c>
      <c r="AC35">
        <f>VLOOKUP(F35,[2]numberFire_ppr_projections!$A:$B,2,FALSE)</f>
        <v>279.39999999999998</v>
      </c>
      <c r="AD35" s="1">
        <f>AVERAGE(AB35,AC35,AE35)</f>
        <v>252.21346735887278</v>
      </c>
      <c r="AE35">
        <f>VLOOKUP(F35,[4]ppr!$B:$E,4,FALSE)</f>
        <v>259.34040207661832</v>
      </c>
      <c r="AF35">
        <f>VLOOKUP(F35,[4]half_ppr!$B:$E,4,FALSE)</f>
        <v>216.07226228173829</v>
      </c>
      <c r="AG35">
        <f>VLOOKUP(F35,[4]std!$B:$E,4,FALSE)</f>
        <v>172.80412248685829</v>
      </c>
      <c r="AH35">
        <f>IFERROR(VLOOKUP(F35,[5]actual_week11_ppr_stats!$A:$B,2,FALSE),0)</f>
        <v>53.5</v>
      </c>
    </row>
    <row r="36" spans="1:34" x14ac:dyDescent="0.2">
      <c r="A36">
        <v>35</v>
      </c>
      <c r="B36">
        <v>19467</v>
      </c>
      <c r="C36" t="s">
        <v>66</v>
      </c>
      <c r="D36" t="str" cm="1">
        <f t="array" ref="D36:E36">_xlfn.TEXTSPLIT(C36, ", ")</f>
        <v>Cook</v>
      </c>
      <c r="E36" t="str">
        <v>James</v>
      </c>
      <c r="F36" t="str">
        <f t="shared" si="0"/>
        <v>James Cook</v>
      </c>
      <c r="G36" t="s">
        <v>60</v>
      </c>
      <c r="H36" t="s">
        <v>12</v>
      </c>
      <c r="I36">
        <v>37.26</v>
      </c>
      <c r="J36">
        <v>20</v>
      </c>
      <c r="K36">
        <v>51</v>
      </c>
      <c r="L36">
        <f>VLOOKUP(G36,byes!$A:$B,2,FALSE)</f>
        <v>7</v>
      </c>
      <c r="M36">
        <f t="shared" si="1"/>
        <v>0</v>
      </c>
      <c r="N36">
        <f t="shared" si="2"/>
        <v>0</v>
      </c>
      <c r="O36">
        <f t="shared" si="3"/>
        <v>1</v>
      </c>
      <c r="P36">
        <f t="shared" si="4"/>
        <v>0</v>
      </c>
      <c r="Q36">
        <f t="shared" si="5"/>
        <v>0</v>
      </c>
      <c r="R36">
        <f t="shared" si="6"/>
        <v>0</v>
      </c>
      <c r="S36">
        <f t="shared" si="7"/>
        <v>0</v>
      </c>
      <c r="T36">
        <f t="shared" si="8"/>
        <v>0</v>
      </c>
      <c r="U36">
        <f t="shared" si="9"/>
        <v>0</v>
      </c>
      <c r="V36">
        <f t="shared" si="10"/>
        <v>0</v>
      </c>
      <c r="W36">
        <f t="shared" si="11"/>
        <v>1</v>
      </c>
      <c r="X36">
        <f t="shared" si="12"/>
        <v>0</v>
      </c>
      <c r="Y36">
        <f t="shared" si="13"/>
        <v>0</v>
      </c>
      <c r="Z36">
        <f t="shared" si="14"/>
        <v>1</v>
      </c>
      <c r="AA36">
        <v>1</v>
      </c>
      <c r="AB36">
        <f>VLOOKUP(F36,[1]pff_ppr_projections!$B:$D,3,FALSE)</f>
        <v>231.7</v>
      </c>
      <c r="AC36">
        <f>VLOOKUP(F36,[2]numberFire_ppr_projections!$A:$B,2,FALSE)</f>
        <v>189.1</v>
      </c>
      <c r="AD36">
        <f>VLOOKUP(F36,[3]rotoballer_ppr_projections!$B:$G,6,FALSE)</f>
        <v>233</v>
      </c>
      <c r="AE36">
        <f>VLOOKUP(F36,[4]ppr!$B:$E,4,FALSE)</f>
        <v>210.17577673027441</v>
      </c>
      <c r="AF36">
        <f>VLOOKUP(F36,[4]half_ppr!$B:$E,4,FALSE)</f>
        <v>195.18879245031442</v>
      </c>
      <c r="AG36">
        <f>VLOOKUP(F36,[4]std!$B:$E,4,FALSE)</f>
        <v>180.20180817035441</v>
      </c>
      <c r="AH36">
        <f>IFERROR(VLOOKUP(F36,[5]actual_week11_ppr_stats!$A:$B,2,FALSE),0)</f>
        <v>206.7</v>
      </c>
    </row>
    <row r="37" spans="1:34" x14ac:dyDescent="0.2">
      <c r="A37">
        <v>36</v>
      </c>
      <c r="B37">
        <v>22059</v>
      </c>
      <c r="C37" t="s">
        <v>67</v>
      </c>
      <c r="D37" t="str" cm="1">
        <f t="array" ref="D37:E37">_xlfn.TEXTSPLIT(C37, ", ")</f>
        <v>McMillan</v>
      </c>
      <c r="E37" t="str">
        <v>Tetairoa</v>
      </c>
      <c r="F37" t="str">
        <f t="shared" si="0"/>
        <v>Tetairoa McMillan</v>
      </c>
      <c r="G37" t="s">
        <v>68</v>
      </c>
      <c r="H37" t="s">
        <v>9</v>
      </c>
      <c r="I37">
        <v>37.47</v>
      </c>
      <c r="J37">
        <v>26</v>
      </c>
      <c r="K37">
        <v>51</v>
      </c>
      <c r="L37">
        <f>VLOOKUP(G37,byes!$A:$B,2,FALSE)</f>
        <v>14</v>
      </c>
      <c r="M37">
        <f t="shared" si="1"/>
        <v>0</v>
      </c>
      <c r="N37">
        <f t="shared" si="2"/>
        <v>0</v>
      </c>
      <c r="O37">
        <f t="shared" si="3"/>
        <v>0</v>
      </c>
      <c r="P37">
        <f t="shared" si="4"/>
        <v>0</v>
      </c>
      <c r="Q37">
        <f t="shared" si="5"/>
        <v>0</v>
      </c>
      <c r="R37">
        <f t="shared" si="6"/>
        <v>0</v>
      </c>
      <c r="S37">
        <f t="shared" si="7"/>
        <v>0</v>
      </c>
      <c r="T37">
        <f t="shared" si="8"/>
        <v>0</v>
      </c>
      <c r="U37">
        <f t="shared" si="9"/>
        <v>1</v>
      </c>
      <c r="V37">
        <f t="shared" si="10"/>
        <v>0</v>
      </c>
      <c r="W37">
        <f t="shared" si="11"/>
        <v>0</v>
      </c>
      <c r="X37">
        <f t="shared" si="12"/>
        <v>1</v>
      </c>
      <c r="Y37">
        <f t="shared" si="13"/>
        <v>0</v>
      </c>
      <c r="Z37">
        <f t="shared" si="14"/>
        <v>1</v>
      </c>
      <c r="AA37">
        <f t="shared" si="15"/>
        <v>1</v>
      </c>
      <c r="AB37">
        <f>VLOOKUP(F37,[1]pff_ppr_projections!$B:$D,3,FALSE)</f>
        <v>216.1</v>
      </c>
      <c r="AC37">
        <f>VLOOKUP(F37,[2]numberFire_ppr_projections!$A:$B,2,FALSE)</f>
        <v>144.6</v>
      </c>
      <c r="AD37">
        <f>VLOOKUP(F37,[3]rotoballer_ppr_projections!$B:$G,6,FALSE)</f>
        <v>210</v>
      </c>
      <c r="AE37">
        <f>VLOOKUP(F37,[4]ppr!$B:$E,4,FALSE)</f>
        <v>229.93787270299995</v>
      </c>
      <c r="AF37">
        <f>VLOOKUP(F37,[4]half_ppr!$B:$E,4,FALSE)</f>
        <v>188.13098675699999</v>
      </c>
      <c r="AG37">
        <f>VLOOKUP(F37,[4]std!$B:$E,4,FALSE)</f>
        <v>146.32410081099999</v>
      </c>
      <c r="AH37">
        <f>IFERROR(VLOOKUP(F37,[5]actual_week11_ppr_stats!$A:$B,2,FALSE),0)</f>
        <v>152.80000000000001</v>
      </c>
    </row>
    <row r="38" spans="1:34" x14ac:dyDescent="0.2">
      <c r="A38">
        <v>37</v>
      </c>
      <c r="B38">
        <v>12729</v>
      </c>
      <c r="C38" t="s">
        <v>69</v>
      </c>
      <c r="D38" t="str" cm="1">
        <f t="array" ref="D38:E38">_xlfn.TEXTSPLIT(C38, ", ")</f>
        <v>Adams</v>
      </c>
      <c r="E38" t="str">
        <v>Davante</v>
      </c>
      <c r="F38" t="str">
        <f t="shared" si="0"/>
        <v>Davante Adams</v>
      </c>
      <c r="G38" t="s">
        <v>35</v>
      </c>
      <c r="H38" t="s">
        <v>9</v>
      </c>
      <c r="I38">
        <v>38.46</v>
      </c>
      <c r="J38">
        <v>18</v>
      </c>
      <c r="K38">
        <v>51</v>
      </c>
      <c r="L38">
        <f>VLOOKUP(G38,byes!$A:$B,2,FALSE)</f>
        <v>8</v>
      </c>
      <c r="M38">
        <f t="shared" si="1"/>
        <v>0</v>
      </c>
      <c r="N38">
        <f t="shared" si="2"/>
        <v>0</v>
      </c>
      <c r="O38">
        <f t="shared" si="3"/>
        <v>0</v>
      </c>
      <c r="P38">
        <f t="shared" si="4"/>
        <v>1</v>
      </c>
      <c r="Q38">
        <f t="shared" si="5"/>
        <v>0</v>
      </c>
      <c r="R38">
        <f t="shared" si="6"/>
        <v>0</v>
      </c>
      <c r="S38">
        <f t="shared" si="7"/>
        <v>0</v>
      </c>
      <c r="T38">
        <f t="shared" si="8"/>
        <v>0</v>
      </c>
      <c r="U38">
        <f t="shared" si="9"/>
        <v>0</v>
      </c>
      <c r="V38">
        <f t="shared" si="10"/>
        <v>0</v>
      </c>
      <c r="W38">
        <f t="shared" si="11"/>
        <v>0</v>
      </c>
      <c r="X38">
        <f t="shared" si="12"/>
        <v>1</v>
      </c>
      <c r="Y38">
        <f t="shared" si="13"/>
        <v>0</v>
      </c>
      <c r="Z38">
        <f t="shared" si="14"/>
        <v>1</v>
      </c>
      <c r="AA38">
        <v>1</v>
      </c>
      <c r="AB38">
        <f>VLOOKUP(F38,[1]pff_ppr_projections!$B:$D,3,FALSE)</f>
        <v>225.2</v>
      </c>
      <c r="AC38">
        <f>VLOOKUP(F38,[2]numberFire_ppr_projections!$A:$B,2,FALSE)</f>
        <v>226.8</v>
      </c>
      <c r="AD38">
        <f>VLOOKUP(F38,[3]rotoballer_ppr_projections!$B:$G,6,FALSE)</f>
        <v>250</v>
      </c>
      <c r="AE38">
        <f>VLOOKUP(F38,[4]ppr!$B:$E,4,FALSE)</f>
        <v>261.73059207165676</v>
      </c>
      <c r="AF38">
        <f>VLOOKUP(F38,[4]half_ppr!$B:$E,4,FALSE)</f>
        <v>214.9929863445752</v>
      </c>
      <c r="AG38">
        <f>VLOOKUP(F38,[4]std!$B:$E,4,FALSE)</f>
        <v>168.25538061749364</v>
      </c>
      <c r="AH38">
        <f>IFERROR(VLOOKUP(F38,[5]actual_week11_ppr_stats!$A:$B,2,FALSE),0)</f>
        <v>159.9</v>
      </c>
    </row>
    <row r="39" spans="1:34" x14ac:dyDescent="0.2">
      <c r="A39">
        <v>38</v>
      </c>
      <c r="B39">
        <v>17062</v>
      </c>
      <c r="C39" t="s">
        <v>70</v>
      </c>
      <c r="D39" t="str" cm="1">
        <f t="array" ref="D39:E39">_xlfn.TEXTSPLIT(C39, ", ")</f>
        <v>McLaurin</v>
      </c>
      <c r="E39" t="str">
        <v>Terry</v>
      </c>
      <c r="F39" t="str">
        <f t="shared" si="0"/>
        <v>Terry McLaurin</v>
      </c>
      <c r="G39" t="s">
        <v>71</v>
      </c>
      <c r="H39" t="s">
        <v>9</v>
      </c>
      <c r="I39">
        <v>38.479999999999997</v>
      </c>
      <c r="J39">
        <v>27</v>
      </c>
      <c r="K39">
        <v>49</v>
      </c>
      <c r="L39">
        <f>VLOOKUP(G39,byes!$A:$B,2,FALSE)</f>
        <v>12</v>
      </c>
      <c r="M39">
        <f t="shared" si="1"/>
        <v>0</v>
      </c>
      <c r="N39">
        <f t="shared" si="2"/>
        <v>0</v>
      </c>
      <c r="O39">
        <f t="shared" si="3"/>
        <v>0</v>
      </c>
      <c r="P39">
        <f t="shared" si="4"/>
        <v>0</v>
      </c>
      <c r="Q39">
        <f t="shared" si="5"/>
        <v>0</v>
      </c>
      <c r="R39">
        <f t="shared" si="6"/>
        <v>0</v>
      </c>
      <c r="S39">
        <f t="shared" si="7"/>
        <v>0</v>
      </c>
      <c r="T39">
        <f t="shared" si="8"/>
        <v>1</v>
      </c>
      <c r="U39">
        <f t="shared" si="9"/>
        <v>0</v>
      </c>
      <c r="V39">
        <f t="shared" si="10"/>
        <v>0</v>
      </c>
      <c r="W39">
        <f t="shared" si="11"/>
        <v>0</v>
      </c>
      <c r="X39">
        <f t="shared" si="12"/>
        <v>1</v>
      </c>
      <c r="Y39">
        <f t="shared" si="13"/>
        <v>0</v>
      </c>
      <c r="Z39">
        <f t="shared" si="14"/>
        <v>1</v>
      </c>
      <c r="AA39">
        <v>1</v>
      </c>
      <c r="AB39">
        <f>VLOOKUP(F39,[1]pff_ppr_projections!$B:$D,3,FALSE)</f>
        <v>235</v>
      </c>
      <c r="AC39">
        <f>VLOOKUP(F39,[2]numberFire_ppr_projections!$A:$B,2,FALSE)</f>
        <v>253.9</v>
      </c>
      <c r="AD39">
        <f>VLOOKUP(F39,[3]rotoballer_ppr_projections!$B:$G,6,FALSE)</f>
        <v>250</v>
      </c>
      <c r="AE39">
        <f>VLOOKUP(F39,[4]ppr!$B:$E,4,FALSE)</f>
        <v>247.29141257243413</v>
      </c>
      <c r="AF39">
        <f>VLOOKUP(F39,[4]half_ppr!$B:$E,4,FALSE)</f>
        <v>205.14904505838609</v>
      </c>
      <c r="AG39">
        <f>VLOOKUP(F39,[4]std!$B:$E,4,FALSE)</f>
        <v>163.006677544338</v>
      </c>
      <c r="AH39">
        <f>IFERROR(VLOOKUP(F39,[5]actual_week11_ppr_stats!$A:$B,2,FALSE),0)</f>
        <v>39.299999999999997</v>
      </c>
    </row>
    <row r="40" spans="1:34" x14ac:dyDescent="0.2">
      <c r="A40">
        <v>39</v>
      </c>
      <c r="B40">
        <v>12686</v>
      </c>
      <c r="C40" t="s">
        <v>72</v>
      </c>
      <c r="D40" t="str" cm="1">
        <f t="array" ref="D40:E40">_xlfn.TEXTSPLIT(C40, ", ")</f>
        <v>Evans</v>
      </c>
      <c r="E40" t="str">
        <v>Mike</v>
      </c>
      <c r="F40" t="str">
        <f t="shared" si="0"/>
        <v>Mike Evans</v>
      </c>
      <c r="G40" t="s">
        <v>45</v>
      </c>
      <c r="H40" t="s">
        <v>9</v>
      </c>
      <c r="I40">
        <v>38.74</v>
      </c>
      <c r="J40">
        <v>27</v>
      </c>
      <c r="K40">
        <v>51</v>
      </c>
      <c r="L40">
        <f>VLOOKUP(G40,byes!$A:$B,2,FALSE)</f>
        <v>9</v>
      </c>
      <c r="M40">
        <f t="shared" si="1"/>
        <v>0</v>
      </c>
      <c r="N40">
        <f t="shared" si="2"/>
        <v>0</v>
      </c>
      <c r="O40">
        <f t="shared" si="3"/>
        <v>0</v>
      </c>
      <c r="P40">
        <f t="shared" si="4"/>
        <v>0</v>
      </c>
      <c r="Q40">
        <f t="shared" si="5"/>
        <v>1</v>
      </c>
      <c r="R40">
        <f t="shared" si="6"/>
        <v>0</v>
      </c>
      <c r="S40">
        <f t="shared" si="7"/>
        <v>0</v>
      </c>
      <c r="T40">
        <f t="shared" si="8"/>
        <v>0</v>
      </c>
      <c r="U40">
        <f t="shared" si="9"/>
        <v>0</v>
      </c>
      <c r="V40">
        <f t="shared" si="10"/>
        <v>0</v>
      </c>
      <c r="W40">
        <f t="shared" si="11"/>
        <v>0</v>
      </c>
      <c r="X40">
        <f t="shared" si="12"/>
        <v>1</v>
      </c>
      <c r="Y40">
        <f t="shared" si="13"/>
        <v>0</v>
      </c>
      <c r="Z40">
        <f t="shared" si="14"/>
        <v>1</v>
      </c>
      <c r="AA40">
        <v>1</v>
      </c>
      <c r="AB40">
        <f>VLOOKUP(F40,[1]pff_ppr_projections!$B:$D,3,FALSE)</f>
        <v>232.6</v>
      </c>
      <c r="AC40">
        <f>VLOOKUP(F40,[2]numberFire_ppr_projections!$A:$B,2,FALSE)</f>
        <v>252.5</v>
      </c>
      <c r="AD40">
        <f>VLOOKUP(F40,[3]rotoballer_ppr_projections!$B:$G,6,FALSE)</f>
        <v>251</v>
      </c>
      <c r="AE40">
        <f>VLOOKUP(F40,[4]ppr!$B:$E,4,FALSE)</f>
        <v>245.72232048690148</v>
      </c>
      <c r="AF40">
        <f>VLOOKUP(F40,[4]half_ppr!$B:$E,4,FALSE)</f>
        <v>205.46637021054147</v>
      </c>
      <c r="AG40">
        <f>VLOOKUP(F40,[4]std!$B:$E,4,FALSE)</f>
        <v>165.21041993418146</v>
      </c>
      <c r="AH40">
        <f>IFERROR(VLOOKUP(F40,[5]actual_week11_ppr_stats!$A:$B,2,FALSE),0)</f>
        <v>34</v>
      </c>
    </row>
    <row r="41" spans="1:34" x14ac:dyDescent="0.2">
      <c r="A41">
        <v>40</v>
      </c>
      <c r="B41">
        <v>17968</v>
      </c>
      <c r="C41" t="s">
        <v>73</v>
      </c>
      <c r="D41" t="str" cm="1">
        <f t="array" ref="D41:E41">_xlfn.TEXTSPLIT(C41, ", ")</f>
        <v>Burrow</v>
      </c>
      <c r="E41" t="str">
        <v>Joe</v>
      </c>
      <c r="F41" t="str">
        <f t="shared" si="0"/>
        <v>Joe Burrow</v>
      </c>
      <c r="G41" t="s">
        <v>8</v>
      </c>
      <c r="H41" t="s">
        <v>57</v>
      </c>
      <c r="I41">
        <v>39.01</v>
      </c>
      <c r="J41">
        <v>24</v>
      </c>
      <c r="K41">
        <v>58</v>
      </c>
      <c r="L41">
        <f>VLOOKUP(G41,byes!$A:$B,2,FALSE)</f>
        <v>10</v>
      </c>
      <c r="M41">
        <f t="shared" si="1"/>
        <v>0</v>
      </c>
      <c r="N41">
        <f t="shared" si="2"/>
        <v>0</v>
      </c>
      <c r="O41">
        <f t="shared" si="3"/>
        <v>0</v>
      </c>
      <c r="P41">
        <f t="shared" si="4"/>
        <v>0</v>
      </c>
      <c r="Q41">
        <f t="shared" si="5"/>
        <v>0</v>
      </c>
      <c r="R41">
        <f t="shared" si="6"/>
        <v>1</v>
      </c>
      <c r="S41">
        <f t="shared" si="7"/>
        <v>0</v>
      </c>
      <c r="T41">
        <f t="shared" si="8"/>
        <v>0</v>
      </c>
      <c r="U41">
        <f t="shared" si="9"/>
        <v>0</v>
      </c>
      <c r="V41">
        <f t="shared" si="10"/>
        <v>1</v>
      </c>
      <c r="W41">
        <f t="shared" si="11"/>
        <v>0</v>
      </c>
      <c r="X41">
        <f t="shared" si="12"/>
        <v>0</v>
      </c>
      <c r="Y41">
        <f t="shared" si="13"/>
        <v>0</v>
      </c>
      <c r="Z41">
        <f t="shared" si="14"/>
        <v>0</v>
      </c>
      <c r="AA41">
        <f t="shared" si="15"/>
        <v>1</v>
      </c>
      <c r="AB41">
        <f>VLOOKUP(F41,[1]pff_ppr_projections!$B:$D,3,FALSE)</f>
        <v>314.89999999999998</v>
      </c>
      <c r="AC41">
        <f>VLOOKUP(F41,[2]numberFire_ppr_projections!$A:$B,2,FALSE)</f>
        <v>338.9</v>
      </c>
      <c r="AD41">
        <f>VLOOKUP(F41,[3]rotoballer_ppr_projections!$B:$G,6,FALSE)</f>
        <v>331</v>
      </c>
      <c r="AE41">
        <f>VLOOKUP(F41,[4]ppr!$B:$E,4,FALSE)</f>
        <v>338.95905235772284</v>
      </c>
      <c r="AF41">
        <f>VLOOKUP(F41,[4]half_ppr!$B:$E,4,FALSE)</f>
        <v>338.95905235772284</v>
      </c>
      <c r="AG41">
        <f>VLOOKUP(F41,[4]std!$B:$E,4,FALSE)</f>
        <v>338.95905235772284</v>
      </c>
      <c r="AH41">
        <f>IFERROR(VLOOKUP(F41,[5]actual_week11_ppr_stats!$A:$B,2,FALSE),0)</f>
        <v>15.9</v>
      </c>
    </row>
    <row r="42" spans="1:34" x14ac:dyDescent="0.2">
      <c r="A42">
        <v>41</v>
      </c>
      <c r="B42">
        <v>21128</v>
      </c>
      <c r="C42" t="s">
        <v>74</v>
      </c>
      <c r="D42" t="str" cm="1">
        <f t="array" ref="D42:E42">_xlfn.TEXTSPLIT(C42, ", ")</f>
        <v>Worthy</v>
      </c>
      <c r="E42" t="str">
        <v>Xavier</v>
      </c>
      <c r="F42" t="str">
        <f t="shared" si="0"/>
        <v>Xavier Worthy</v>
      </c>
      <c r="G42" t="s">
        <v>75</v>
      </c>
      <c r="H42" t="s">
        <v>9</v>
      </c>
      <c r="I42">
        <v>40.700000000000003</v>
      </c>
      <c r="J42">
        <v>28</v>
      </c>
      <c r="K42">
        <v>58</v>
      </c>
      <c r="L42">
        <f>VLOOKUP(G42,byes!$A:$B,2,FALSE)</f>
        <v>10</v>
      </c>
      <c r="M42">
        <f t="shared" si="1"/>
        <v>0</v>
      </c>
      <c r="N42">
        <f t="shared" si="2"/>
        <v>0</v>
      </c>
      <c r="O42">
        <f t="shared" si="3"/>
        <v>0</v>
      </c>
      <c r="P42">
        <f t="shared" si="4"/>
        <v>0</v>
      </c>
      <c r="Q42">
        <f t="shared" si="5"/>
        <v>0</v>
      </c>
      <c r="R42">
        <f t="shared" si="6"/>
        <v>1</v>
      </c>
      <c r="S42">
        <f t="shared" si="7"/>
        <v>0</v>
      </c>
      <c r="T42">
        <f t="shared" si="8"/>
        <v>0</v>
      </c>
      <c r="U42">
        <f t="shared" si="9"/>
        <v>0</v>
      </c>
      <c r="V42">
        <f t="shared" si="10"/>
        <v>0</v>
      </c>
      <c r="W42">
        <f t="shared" si="11"/>
        <v>0</v>
      </c>
      <c r="X42">
        <f t="shared" si="12"/>
        <v>1</v>
      </c>
      <c r="Y42">
        <f t="shared" si="13"/>
        <v>0</v>
      </c>
      <c r="Z42">
        <f t="shared" si="14"/>
        <v>1</v>
      </c>
      <c r="AA42">
        <v>1</v>
      </c>
      <c r="AB42">
        <f>VLOOKUP(F42,[1]pff_ppr_projections!$B:$D,3,FALSE)</f>
        <v>213.6</v>
      </c>
      <c r="AC42">
        <f>VLOOKUP(F42,[2]numberFire_ppr_projections!$A:$B,2,FALSE)</f>
        <v>200.1</v>
      </c>
      <c r="AD42">
        <f>VLOOKUP(F42,[3]rotoballer_ppr_projections!$B:$G,6,FALSE)</f>
        <v>218</v>
      </c>
      <c r="AE42">
        <f>VLOOKUP(F42,[4]ppr!$B:$E,4,FALSE)</f>
        <v>243.96870681929022</v>
      </c>
      <c r="AF42">
        <f>VLOOKUP(F42,[4]half_ppr!$B:$E,4,FALSE)</f>
        <v>201.37468990804024</v>
      </c>
      <c r="AG42">
        <f>VLOOKUP(F42,[4]std!$B:$E,4,FALSE)</f>
        <v>158.78067299679026</v>
      </c>
      <c r="AH42">
        <f>IFERROR(VLOOKUP(F42,[5]actual_week11_ppr_stats!$A:$B,2,FALSE),0)</f>
        <v>68.400000000000006</v>
      </c>
    </row>
    <row r="43" spans="1:34" x14ac:dyDescent="0.2">
      <c r="A43">
        <v>42</v>
      </c>
      <c r="B43">
        <v>21126</v>
      </c>
      <c r="C43" t="s">
        <v>76</v>
      </c>
      <c r="D43" t="str" cm="1">
        <f t="array" ref="D43:E43">_xlfn.TEXTSPLIT(C43, ", ")</f>
        <v>Daniels</v>
      </c>
      <c r="E43" t="str">
        <v>Jayden</v>
      </c>
      <c r="F43" t="str">
        <f t="shared" si="0"/>
        <v>Jayden Daniels</v>
      </c>
      <c r="G43" t="s">
        <v>71</v>
      </c>
      <c r="H43" t="s">
        <v>57</v>
      </c>
      <c r="I43">
        <v>41.14</v>
      </c>
      <c r="J43">
        <v>25</v>
      </c>
      <c r="K43">
        <v>58</v>
      </c>
      <c r="L43">
        <f>VLOOKUP(G43,byes!$A:$B,2,FALSE)</f>
        <v>12</v>
      </c>
      <c r="M43">
        <f t="shared" si="1"/>
        <v>0</v>
      </c>
      <c r="N43">
        <f t="shared" si="2"/>
        <v>0</v>
      </c>
      <c r="O43">
        <f t="shared" si="3"/>
        <v>0</v>
      </c>
      <c r="P43">
        <f t="shared" si="4"/>
        <v>0</v>
      </c>
      <c r="Q43">
        <f t="shared" si="5"/>
        <v>0</v>
      </c>
      <c r="R43">
        <f t="shared" si="6"/>
        <v>0</v>
      </c>
      <c r="S43">
        <f t="shared" si="7"/>
        <v>0</v>
      </c>
      <c r="T43">
        <f t="shared" si="8"/>
        <v>1</v>
      </c>
      <c r="U43">
        <f t="shared" si="9"/>
        <v>0</v>
      </c>
      <c r="V43">
        <f t="shared" si="10"/>
        <v>1</v>
      </c>
      <c r="W43">
        <f t="shared" si="11"/>
        <v>0</v>
      </c>
      <c r="X43">
        <f t="shared" si="12"/>
        <v>0</v>
      </c>
      <c r="Y43">
        <f t="shared" si="13"/>
        <v>0</v>
      </c>
      <c r="Z43">
        <f t="shared" si="14"/>
        <v>0</v>
      </c>
      <c r="AA43">
        <v>1</v>
      </c>
      <c r="AB43">
        <f>VLOOKUP(F43,[1]pff_ppr_projections!$B:$D,3,FALSE)</f>
        <v>339.5</v>
      </c>
      <c r="AC43">
        <f>VLOOKUP(F43,[2]numberFire_ppr_projections!$A:$B,2,FALSE)</f>
        <v>335.9</v>
      </c>
      <c r="AD43">
        <f>VLOOKUP(F43,[3]rotoballer_ppr_projections!$B:$G,6,FALSE)</f>
        <v>360</v>
      </c>
      <c r="AE43">
        <f>VLOOKUP(F43,[4]ppr!$B:$E,4,FALSE)</f>
        <v>368.27823482139502</v>
      </c>
      <c r="AF43">
        <f>VLOOKUP(F43,[4]half_ppr!$B:$E,4,FALSE)</f>
        <v>368.27823482139502</v>
      </c>
      <c r="AG43">
        <f>VLOOKUP(F43,[4]std!$B:$E,4,FALSE)</f>
        <v>368.27823482139502</v>
      </c>
      <c r="AH43">
        <f>IFERROR(VLOOKUP(F43,[5]actual_week11_ppr_stats!$A:$B,2,FALSE),0)</f>
        <v>115.6</v>
      </c>
    </row>
    <row r="44" spans="1:34" x14ac:dyDescent="0.2">
      <c r="A44">
        <v>43</v>
      </c>
      <c r="B44">
        <v>15360</v>
      </c>
      <c r="C44" t="s">
        <v>77</v>
      </c>
      <c r="D44" t="str" cm="1">
        <f t="array" ref="D44:E44">_xlfn.TEXTSPLIT(C44, ", ")</f>
        <v>Kittle</v>
      </c>
      <c r="E44" t="str">
        <v>George</v>
      </c>
      <c r="F44" t="str">
        <f t="shared" si="0"/>
        <v>George Kittle</v>
      </c>
      <c r="G44" t="s">
        <v>22</v>
      </c>
      <c r="H44" t="s">
        <v>47</v>
      </c>
      <c r="I44">
        <v>42.31</v>
      </c>
      <c r="J44">
        <v>28</v>
      </c>
      <c r="K44">
        <v>57</v>
      </c>
      <c r="L44">
        <f>VLOOKUP(G44,byes!$A:$B,2,FALSE)</f>
        <v>14</v>
      </c>
      <c r="M44">
        <f t="shared" si="1"/>
        <v>0</v>
      </c>
      <c r="N44">
        <f t="shared" si="2"/>
        <v>0</v>
      </c>
      <c r="O44">
        <f t="shared" si="3"/>
        <v>0</v>
      </c>
      <c r="P44">
        <f t="shared" si="4"/>
        <v>0</v>
      </c>
      <c r="Q44">
        <f t="shared" si="5"/>
        <v>0</v>
      </c>
      <c r="R44">
        <f t="shared" si="6"/>
        <v>0</v>
      </c>
      <c r="S44">
        <f t="shared" si="7"/>
        <v>0</v>
      </c>
      <c r="T44">
        <f t="shared" si="8"/>
        <v>0</v>
      </c>
      <c r="U44">
        <f t="shared" si="9"/>
        <v>1</v>
      </c>
      <c r="V44">
        <f t="shared" si="10"/>
        <v>0</v>
      </c>
      <c r="W44">
        <f t="shared" si="11"/>
        <v>0</v>
      </c>
      <c r="X44">
        <f t="shared" si="12"/>
        <v>0</v>
      </c>
      <c r="Y44">
        <f t="shared" si="13"/>
        <v>1</v>
      </c>
      <c r="Z44">
        <f t="shared" si="14"/>
        <v>1</v>
      </c>
      <c r="AA44">
        <v>1</v>
      </c>
      <c r="AB44">
        <f>VLOOKUP(F44,[1]pff_ppr_projections!$B:$D,3,FALSE)</f>
        <v>209.3</v>
      </c>
      <c r="AC44">
        <f>VLOOKUP(F44,[2]numberFire_ppr_projections!$A:$B,2,FALSE)</f>
        <v>225.5</v>
      </c>
      <c r="AD44">
        <f>VLOOKUP(F44,[3]rotoballer_ppr_projections!$B:$G,6,FALSE)</f>
        <v>226</v>
      </c>
      <c r="AE44">
        <f>VLOOKUP(F44,[4]ppr!$B:$E,4,FALSE)</f>
        <v>240.23835360278213</v>
      </c>
      <c r="AF44">
        <f>VLOOKUP(F44,[4]half_ppr!$B:$E,4,FALSE)</f>
        <v>199.35367804070211</v>
      </c>
      <c r="AG44">
        <f>VLOOKUP(F44,[4]std!$B:$E,4,FALSE)</f>
        <v>158.46900247862209</v>
      </c>
      <c r="AH44">
        <f>IFERROR(VLOOKUP(F44,[5]actual_week11_ppr_stats!$A:$B,2,FALSE),0)</f>
        <v>81.8</v>
      </c>
    </row>
    <row r="45" spans="1:34" x14ac:dyDescent="0.2">
      <c r="A45">
        <v>44</v>
      </c>
      <c r="B45">
        <v>19430</v>
      </c>
      <c r="C45" t="s">
        <v>244</v>
      </c>
      <c r="D45" t="str" cm="1">
        <f t="array" ref="D45:E45">_xlfn.TEXTSPLIT(C45, ", ")</f>
        <v>Walker III</v>
      </c>
      <c r="E45" t="str">
        <v>Kenneth</v>
      </c>
      <c r="F45" t="str">
        <f t="shared" si="0"/>
        <v>Kenneth Walker III</v>
      </c>
      <c r="G45" t="s">
        <v>51</v>
      </c>
      <c r="H45" t="s">
        <v>12</v>
      </c>
      <c r="I45">
        <v>43.19</v>
      </c>
      <c r="J45">
        <v>24</v>
      </c>
      <c r="K45">
        <v>59</v>
      </c>
      <c r="L45">
        <f>VLOOKUP(G45,byes!$A:$B,2,FALSE)</f>
        <v>8</v>
      </c>
      <c r="M45">
        <f t="shared" si="1"/>
        <v>0</v>
      </c>
      <c r="N45">
        <f t="shared" si="2"/>
        <v>0</v>
      </c>
      <c r="O45">
        <f t="shared" si="3"/>
        <v>0</v>
      </c>
      <c r="P45">
        <f t="shared" si="4"/>
        <v>1</v>
      </c>
      <c r="Q45">
        <f t="shared" si="5"/>
        <v>0</v>
      </c>
      <c r="R45">
        <f t="shared" si="6"/>
        <v>0</v>
      </c>
      <c r="S45">
        <f t="shared" si="7"/>
        <v>0</v>
      </c>
      <c r="T45">
        <f t="shared" si="8"/>
        <v>0</v>
      </c>
      <c r="U45">
        <f t="shared" si="9"/>
        <v>0</v>
      </c>
      <c r="V45">
        <f t="shared" si="10"/>
        <v>0</v>
      </c>
      <c r="W45">
        <f t="shared" si="11"/>
        <v>1</v>
      </c>
      <c r="X45">
        <f t="shared" si="12"/>
        <v>0</v>
      </c>
      <c r="Y45">
        <f t="shared" si="13"/>
        <v>0</v>
      </c>
      <c r="Z45">
        <f t="shared" si="14"/>
        <v>1</v>
      </c>
      <c r="AA45">
        <f t="shared" si="15"/>
        <v>1</v>
      </c>
      <c r="AB45">
        <f>VLOOKUP(F45,[1]pff_ppr_projections!$B:$D,3,FALSE)</f>
        <v>248.1</v>
      </c>
      <c r="AC45">
        <f>VLOOKUP(F45,[2]numberFire_ppr_projections!$A:$B,2,FALSE)</f>
        <v>210.8</v>
      </c>
      <c r="AD45">
        <f>VLOOKUP(F45,[3]rotoballer_ppr_projections!$B:$G,6,FALSE)</f>
        <v>213</v>
      </c>
      <c r="AE45">
        <f>VLOOKUP(F45,[4]ppr!$B:$E,4,FALSE)</f>
        <v>220.92864193496101</v>
      </c>
      <c r="AF45">
        <f>VLOOKUP(F45,[4]half_ppr!$B:$E,4,FALSE)</f>
        <v>203.225409908481</v>
      </c>
      <c r="AG45">
        <f>VLOOKUP(F45,[4]std!$B:$E,4,FALSE)</f>
        <v>185.52217788200099</v>
      </c>
      <c r="AH45">
        <f>IFERROR(VLOOKUP(F45,[5]actual_week11_ppr_stats!$A:$B,2,FALSE),0)</f>
        <v>111.3</v>
      </c>
    </row>
    <row r="46" spans="1:34" x14ac:dyDescent="0.2">
      <c r="A46">
        <v>45</v>
      </c>
      <c r="B46">
        <v>16066</v>
      </c>
      <c r="C46" t="s">
        <v>78</v>
      </c>
      <c r="D46" t="str" cm="1">
        <f t="array" ref="D46:E46">_xlfn.TEXTSPLIT(C46, ", ")</f>
        <v>Sutton</v>
      </c>
      <c r="E46" t="str">
        <v>Courtland</v>
      </c>
      <c r="F46" t="str">
        <f t="shared" si="0"/>
        <v>Courtland Sutton</v>
      </c>
      <c r="G46" t="s">
        <v>79</v>
      </c>
      <c r="H46" t="s">
        <v>9</v>
      </c>
      <c r="I46">
        <v>44.55</v>
      </c>
      <c r="J46">
        <v>33</v>
      </c>
      <c r="K46">
        <v>56</v>
      </c>
      <c r="L46">
        <f>VLOOKUP(G46,byes!$A:$B,2,FALSE)</f>
        <v>12</v>
      </c>
      <c r="M46">
        <f t="shared" si="1"/>
        <v>0</v>
      </c>
      <c r="N46">
        <f t="shared" si="2"/>
        <v>0</v>
      </c>
      <c r="O46">
        <f t="shared" si="3"/>
        <v>0</v>
      </c>
      <c r="P46">
        <f t="shared" si="4"/>
        <v>0</v>
      </c>
      <c r="Q46">
        <f t="shared" si="5"/>
        <v>0</v>
      </c>
      <c r="R46">
        <f t="shared" si="6"/>
        <v>0</v>
      </c>
      <c r="S46">
        <f t="shared" si="7"/>
        <v>0</v>
      </c>
      <c r="T46">
        <f t="shared" si="8"/>
        <v>1</v>
      </c>
      <c r="U46">
        <f t="shared" si="9"/>
        <v>0</v>
      </c>
      <c r="V46">
        <f t="shared" si="10"/>
        <v>0</v>
      </c>
      <c r="W46">
        <f t="shared" si="11"/>
        <v>0</v>
      </c>
      <c r="X46">
        <f t="shared" si="12"/>
        <v>1</v>
      </c>
      <c r="Y46">
        <f t="shared" si="13"/>
        <v>0</v>
      </c>
      <c r="Z46">
        <f t="shared" si="14"/>
        <v>1</v>
      </c>
      <c r="AA46">
        <v>1</v>
      </c>
      <c r="AB46">
        <f>VLOOKUP(F46,[1]pff_ppr_projections!$B:$D,3,FALSE)</f>
        <v>202.6</v>
      </c>
      <c r="AC46">
        <f>VLOOKUP(F46,[2]numberFire_ppr_projections!$A:$B,2,FALSE)</f>
        <v>222.6</v>
      </c>
      <c r="AD46">
        <f>VLOOKUP(F46,[3]rotoballer_ppr_projections!$B:$G,6,FALSE)</f>
        <v>217</v>
      </c>
      <c r="AE46">
        <f>VLOOKUP(F46,[4]ppr!$B:$E,4,FALSE)</f>
        <v>230.81271160192</v>
      </c>
      <c r="AF46">
        <f>VLOOKUP(F46,[4]half_ppr!$B:$E,4,FALSE)</f>
        <v>190.11935624192</v>
      </c>
      <c r="AG46">
        <f>VLOOKUP(F46,[4]std!$B:$E,4,FALSE)</f>
        <v>149.42600088192</v>
      </c>
      <c r="AH46">
        <f>IFERROR(VLOOKUP(F46,[5]actual_week11_ppr_stats!$A:$B,2,FALSE),0)</f>
        <v>133.9</v>
      </c>
    </row>
    <row r="47" spans="1:34" x14ac:dyDescent="0.2">
      <c r="A47">
        <v>46</v>
      </c>
      <c r="B47">
        <v>19437</v>
      </c>
      <c r="C47" t="s">
        <v>80</v>
      </c>
      <c r="D47" t="str" cm="1">
        <f t="array" ref="D47:E47">_xlfn.TEXTSPLIT(C47, ", ")</f>
        <v>Pickens</v>
      </c>
      <c r="E47" t="str">
        <v>George</v>
      </c>
      <c r="F47" t="str">
        <f t="shared" si="0"/>
        <v>George Pickens</v>
      </c>
      <c r="G47" t="s">
        <v>16</v>
      </c>
      <c r="H47" t="s">
        <v>9</v>
      </c>
      <c r="I47">
        <v>46.53</v>
      </c>
      <c r="J47">
        <v>35</v>
      </c>
      <c r="K47">
        <v>66</v>
      </c>
      <c r="L47">
        <f>VLOOKUP(G47,byes!$A:$B,2,FALSE)</f>
        <v>10</v>
      </c>
      <c r="M47">
        <f t="shared" si="1"/>
        <v>0</v>
      </c>
      <c r="N47">
        <f t="shared" si="2"/>
        <v>0</v>
      </c>
      <c r="O47">
        <f t="shared" si="3"/>
        <v>0</v>
      </c>
      <c r="P47">
        <f t="shared" si="4"/>
        <v>0</v>
      </c>
      <c r="Q47">
        <f t="shared" si="5"/>
        <v>0</v>
      </c>
      <c r="R47">
        <f t="shared" si="6"/>
        <v>1</v>
      </c>
      <c r="S47">
        <f t="shared" si="7"/>
        <v>0</v>
      </c>
      <c r="T47">
        <f t="shared" si="8"/>
        <v>0</v>
      </c>
      <c r="U47">
        <f t="shared" si="9"/>
        <v>0</v>
      </c>
      <c r="V47">
        <f t="shared" si="10"/>
        <v>0</v>
      </c>
      <c r="W47">
        <f t="shared" si="11"/>
        <v>0</v>
      </c>
      <c r="X47">
        <f t="shared" si="12"/>
        <v>1</v>
      </c>
      <c r="Y47">
        <f t="shared" si="13"/>
        <v>0</v>
      </c>
      <c r="Z47">
        <f t="shared" si="14"/>
        <v>1</v>
      </c>
      <c r="AA47">
        <v>1</v>
      </c>
      <c r="AB47">
        <f>VLOOKUP(F47,[1]pff_ppr_projections!$B:$D,3,FALSE)</f>
        <v>191.1</v>
      </c>
      <c r="AC47">
        <f>VLOOKUP(F47,[2]numberFire_ppr_projections!$A:$B,2,FALSE)</f>
        <v>188.7</v>
      </c>
      <c r="AD47">
        <f>VLOOKUP(F47,[3]rotoballer_ppr_projections!$B:$G,6,FALSE)</f>
        <v>221</v>
      </c>
      <c r="AE47">
        <f>VLOOKUP(F47,[4]ppr!$B:$E,4,FALSE)</f>
        <v>231.76394278857413</v>
      </c>
      <c r="AF47">
        <f>VLOOKUP(F47,[4]half_ppr!$B:$E,4,FALSE)</f>
        <v>192.02389772880491</v>
      </c>
      <c r="AG47">
        <f>VLOOKUP(F47,[4]std!$B:$E,4,FALSE)</f>
        <v>152.2838526690357</v>
      </c>
      <c r="AH47">
        <f>IFERROR(VLOOKUP(F47,[5]actual_week11_ppr_stats!$A:$B,2,FALSE),0)</f>
        <v>190.8</v>
      </c>
    </row>
    <row r="48" spans="1:34" x14ac:dyDescent="0.2">
      <c r="A48">
        <v>47</v>
      </c>
      <c r="B48">
        <v>19427</v>
      </c>
      <c r="C48" t="s">
        <v>81</v>
      </c>
      <c r="D48" t="str" cm="1">
        <f t="array" ref="D48:E48">_xlfn.TEXTSPLIT(C48, ", ")</f>
        <v>Hall</v>
      </c>
      <c r="E48" t="str">
        <v>Breece</v>
      </c>
      <c r="F48" t="str">
        <f t="shared" si="0"/>
        <v>Breece Hall</v>
      </c>
      <c r="G48" t="s">
        <v>62</v>
      </c>
      <c r="H48" t="s">
        <v>12</v>
      </c>
      <c r="I48">
        <v>47.58</v>
      </c>
      <c r="J48">
        <v>24</v>
      </c>
      <c r="K48">
        <v>65</v>
      </c>
      <c r="L48">
        <f>VLOOKUP(G48,byes!$A:$B,2,FALSE)</f>
        <v>9</v>
      </c>
      <c r="M48">
        <f t="shared" si="1"/>
        <v>0</v>
      </c>
      <c r="N48">
        <f t="shared" si="2"/>
        <v>0</v>
      </c>
      <c r="O48">
        <f t="shared" si="3"/>
        <v>0</v>
      </c>
      <c r="P48">
        <f t="shared" si="4"/>
        <v>0</v>
      </c>
      <c r="Q48">
        <f t="shared" si="5"/>
        <v>1</v>
      </c>
      <c r="R48">
        <f t="shared" si="6"/>
        <v>0</v>
      </c>
      <c r="S48">
        <f t="shared" si="7"/>
        <v>0</v>
      </c>
      <c r="T48">
        <f t="shared" si="8"/>
        <v>0</v>
      </c>
      <c r="U48">
        <f t="shared" si="9"/>
        <v>0</v>
      </c>
      <c r="V48">
        <f t="shared" si="10"/>
        <v>0</v>
      </c>
      <c r="W48">
        <f t="shared" si="11"/>
        <v>1</v>
      </c>
      <c r="X48">
        <f t="shared" si="12"/>
        <v>0</v>
      </c>
      <c r="Y48">
        <f t="shared" si="13"/>
        <v>0</v>
      </c>
      <c r="Z48">
        <f t="shared" si="14"/>
        <v>1</v>
      </c>
      <c r="AA48">
        <v>1</v>
      </c>
      <c r="AB48">
        <f>VLOOKUP(F48,[1]pff_ppr_projections!$B:$D,3,FALSE)</f>
        <v>223.3</v>
      </c>
      <c r="AC48">
        <f>VLOOKUP(F48,[2]numberFire_ppr_projections!$A:$B,2,FALSE)</f>
        <v>218.8</v>
      </c>
      <c r="AD48">
        <f>VLOOKUP(F48,[3]rotoballer_ppr_projections!$B:$G,6,FALSE)</f>
        <v>210</v>
      </c>
      <c r="AE48">
        <f>VLOOKUP(F48,[4]ppr!$B:$E,4,FALSE)</f>
        <v>203.90803365160178</v>
      </c>
      <c r="AF48">
        <f>VLOOKUP(F48,[4]half_ppr!$B:$E,4,FALSE)</f>
        <v>181.56309092882731</v>
      </c>
      <c r="AG48">
        <f>VLOOKUP(F48,[4]std!$B:$E,4,FALSE)</f>
        <v>159.2181482060528</v>
      </c>
      <c r="AH48">
        <f>IFERROR(VLOOKUP(F48,[5]actual_week11_ppr_stats!$A:$B,2,FALSE),0)</f>
        <v>136.80000000000001</v>
      </c>
    </row>
    <row r="49" spans="1:34" x14ac:dyDescent="0.2">
      <c r="A49">
        <v>48</v>
      </c>
      <c r="B49">
        <v>17002</v>
      </c>
      <c r="C49" t="s">
        <v>245</v>
      </c>
      <c r="D49" t="str" cm="1">
        <f t="array" ref="D49:E49">_xlfn.TEXTSPLIT(C49, ", ")</f>
        <v>Metcalf</v>
      </c>
      <c r="E49" t="str">
        <v>D.K.</v>
      </c>
      <c r="F49" t="str">
        <f t="shared" si="0"/>
        <v>DK Metcalf</v>
      </c>
      <c r="G49" t="s">
        <v>82</v>
      </c>
      <c r="H49" t="s">
        <v>9</v>
      </c>
      <c r="I49">
        <v>48.71</v>
      </c>
      <c r="J49">
        <v>31</v>
      </c>
      <c r="K49">
        <v>59</v>
      </c>
      <c r="L49">
        <f>VLOOKUP(G49,byes!$A:$B,2,FALSE)</f>
        <v>5</v>
      </c>
      <c r="M49">
        <f t="shared" si="1"/>
        <v>1</v>
      </c>
      <c r="N49">
        <f t="shared" si="2"/>
        <v>0</v>
      </c>
      <c r="O49">
        <f t="shared" si="3"/>
        <v>0</v>
      </c>
      <c r="P49">
        <f t="shared" si="4"/>
        <v>0</v>
      </c>
      <c r="Q49">
        <f t="shared" si="5"/>
        <v>0</v>
      </c>
      <c r="R49">
        <f t="shared" si="6"/>
        <v>0</v>
      </c>
      <c r="S49">
        <f t="shared" si="7"/>
        <v>0</v>
      </c>
      <c r="T49">
        <f t="shared" si="8"/>
        <v>0</v>
      </c>
      <c r="U49">
        <f t="shared" si="9"/>
        <v>0</v>
      </c>
      <c r="V49">
        <f t="shared" si="10"/>
        <v>0</v>
      </c>
      <c r="W49">
        <f t="shared" si="11"/>
        <v>0</v>
      </c>
      <c r="X49">
        <f t="shared" si="12"/>
        <v>1</v>
      </c>
      <c r="Y49">
        <f t="shared" si="13"/>
        <v>0</v>
      </c>
      <c r="Z49">
        <f t="shared" si="14"/>
        <v>1</v>
      </c>
      <c r="AA49">
        <f t="shared" si="15"/>
        <v>1</v>
      </c>
      <c r="AB49">
        <f>VLOOKUP(F49,[1]pff_ppr_projections!$B:$D,3,FALSE)</f>
        <v>223.4</v>
      </c>
      <c r="AC49">
        <f>VLOOKUP(F49,[2]numberFire_ppr_projections!$A:$B,2,FALSE)</f>
        <v>229.7</v>
      </c>
      <c r="AD49">
        <f>VLOOKUP(F49,[3]rotoballer_ppr_projections!$B:$G,6,FALSE)</f>
        <v>238</v>
      </c>
      <c r="AE49">
        <f>VLOOKUP(F49,[4]ppr!$B:$E,4,FALSE)</f>
        <v>236.12369159610003</v>
      </c>
      <c r="AF49">
        <f>VLOOKUP(F49,[4]half_ppr!$B:$E,4,FALSE)</f>
        <v>196.47901537110002</v>
      </c>
      <c r="AG49">
        <f>VLOOKUP(F49,[4]std!$B:$E,4,FALSE)</f>
        <v>156.83433914610001</v>
      </c>
      <c r="AH49">
        <f>IFERROR(VLOOKUP(F49,[5]actual_week11_ppr_stats!$A:$B,2,FALSE),0)</f>
        <v>122.1</v>
      </c>
    </row>
    <row r="50" spans="1:34" x14ac:dyDescent="0.2">
      <c r="A50">
        <v>49</v>
      </c>
      <c r="B50">
        <v>15293</v>
      </c>
      <c r="C50" t="s">
        <v>83</v>
      </c>
      <c r="D50" t="str" cm="1">
        <f t="array" ref="D50:E50">_xlfn.TEXTSPLIT(C50, ", ")</f>
        <v>Kamara</v>
      </c>
      <c r="E50" t="str">
        <v>Alvin</v>
      </c>
      <c r="F50" t="str">
        <f t="shared" si="0"/>
        <v>Alvin Kamara</v>
      </c>
      <c r="G50" t="s">
        <v>84</v>
      </c>
      <c r="H50" t="s">
        <v>12</v>
      </c>
      <c r="I50">
        <v>48.85</v>
      </c>
      <c r="J50">
        <v>36</v>
      </c>
      <c r="K50">
        <v>61</v>
      </c>
      <c r="L50">
        <f>VLOOKUP(G50,byes!$A:$B,2,FALSE)</f>
        <v>11</v>
      </c>
      <c r="M50">
        <f t="shared" si="1"/>
        <v>0</v>
      </c>
      <c r="N50">
        <f t="shared" si="2"/>
        <v>0</v>
      </c>
      <c r="O50">
        <f t="shared" si="3"/>
        <v>0</v>
      </c>
      <c r="P50">
        <f t="shared" si="4"/>
        <v>0</v>
      </c>
      <c r="Q50">
        <f t="shared" si="5"/>
        <v>0</v>
      </c>
      <c r="R50">
        <f t="shared" si="6"/>
        <v>0</v>
      </c>
      <c r="S50">
        <f t="shared" si="7"/>
        <v>1</v>
      </c>
      <c r="T50">
        <f t="shared" si="8"/>
        <v>0</v>
      </c>
      <c r="U50">
        <f t="shared" si="9"/>
        <v>0</v>
      </c>
      <c r="V50">
        <f t="shared" si="10"/>
        <v>0</v>
      </c>
      <c r="W50">
        <f t="shared" si="11"/>
        <v>1</v>
      </c>
      <c r="X50">
        <f t="shared" si="12"/>
        <v>0</v>
      </c>
      <c r="Y50">
        <f t="shared" si="13"/>
        <v>0</v>
      </c>
      <c r="Z50">
        <f t="shared" si="14"/>
        <v>1</v>
      </c>
      <c r="AA50">
        <v>1</v>
      </c>
      <c r="AB50">
        <f>VLOOKUP(F50,[1]pff_ppr_projections!$B:$D,3,FALSE)</f>
        <v>221.6</v>
      </c>
      <c r="AC50">
        <f>VLOOKUP(F50,[2]numberFire_ppr_projections!$A:$B,2,FALSE)</f>
        <v>204.5</v>
      </c>
      <c r="AD50">
        <f>VLOOKUP(F50,[3]rotoballer_ppr_projections!$B:$G,6,FALSE)</f>
        <v>230</v>
      </c>
      <c r="AE50">
        <f>VLOOKUP(F50,[4]ppr!$B:$E,4,FALSE)</f>
        <v>272.77218518197202</v>
      </c>
      <c r="AF50">
        <f>VLOOKUP(F50,[4]half_ppr!$B:$E,4,FALSE)</f>
        <v>237.14694002647201</v>
      </c>
      <c r="AG50">
        <f>VLOOKUP(F50,[4]std!$B:$E,4,FALSE)</f>
        <v>201.521694870972</v>
      </c>
      <c r="AH50">
        <f>IFERROR(VLOOKUP(F50,[5]actual_week11_ppr_stats!$A:$B,2,FALSE),0)</f>
        <v>101.2</v>
      </c>
    </row>
    <row r="51" spans="1:34" x14ac:dyDescent="0.2">
      <c r="A51">
        <v>50</v>
      </c>
      <c r="B51">
        <v>16134</v>
      </c>
      <c r="C51" t="s">
        <v>85</v>
      </c>
      <c r="D51" t="str" cm="1">
        <f t="array" ref="D51:E51">_xlfn.TEXTSPLIT(C51, ", ")</f>
        <v>Moore</v>
      </c>
      <c r="E51" t="str">
        <v>DJ</v>
      </c>
      <c r="F51" t="str">
        <f t="shared" si="0"/>
        <v>DJ Moore</v>
      </c>
      <c r="G51" t="s">
        <v>86</v>
      </c>
      <c r="H51" t="s">
        <v>9</v>
      </c>
      <c r="I51">
        <v>49.28</v>
      </c>
      <c r="J51">
        <v>37</v>
      </c>
      <c r="K51">
        <v>64</v>
      </c>
      <c r="L51">
        <f>VLOOKUP(G51,byes!$A:$B,2,FALSE)</f>
        <v>5</v>
      </c>
      <c r="M51">
        <f t="shared" si="1"/>
        <v>1</v>
      </c>
      <c r="N51">
        <f t="shared" si="2"/>
        <v>0</v>
      </c>
      <c r="O51">
        <f t="shared" si="3"/>
        <v>0</v>
      </c>
      <c r="P51">
        <f t="shared" si="4"/>
        <v>0</v>
      </c>
      <c r="Q51">
        <f t="shared" si="5"/>
        <v>0</v>
      </c>
      <c r="R51">
        <f t="shared" si="6"/>
        <v>0</v>
      </c>
      <c r="S51">
        <f t="shared" si="7"/>
        <v>0</v>
      </c>
      <c r="T51">
        <f t="shared" si="8"/>
        <v>0</v>
      </c>
      <c r="U51">
        <f t="shared" si="9"/>
        <v>0</v>
      </c>
      <c r="V51">
        <f t="shared" si="10"/>
        <v>0</v>
      </c>
      <c r="W51">
        <f t="shared" si="11"/>
        <v>0</v>
      </c>
      <c r="X51">
        <f t="shared" si="12"/>
        <v>1</v>
      </c>
      <c r="Y51">
        <f t="shared" si="13"/>
        <v>0</v>
      </c>
      <c r="Z51">
        <f t="shared" si="14"/>
        <v>1</v>
      </c>
      <c r="AA51">
        <v>1</v>
      </c>
      <c r="AB51">
        <f>VLOOKUP(F51,[1]pff_ppr_projections!$B:$D,3,FALSE)</f>
        <v>223.4</v>
      </c>
      <c r="AC51">
        <f>VLOOKUP(F51,[2]numberFire_ppr_projections!$A:$B,2,FALSE)</f>
        <v>210.1</v>
      </c>
      <c r="AD51">
        <f>VLOOKUP(F51,[3]rotoballer_ppr_projections!$B:$G,6,FALSE)</f>
        <v>234</v>
      </c>
      <c r="AE51">
        <f>VLOOKUP(F51,[4]ppr!$B:$E,4,FALSE)</f>
        <v>217.14132328944368</v>
      </c>
      <c r="AF51">
        <f>VLOOKUP(F51,[4]half_ppr!$B:$E,4,FALSE)</f>
        <v>178.75530619344369</v>
      </c>
      <c r="AG51">
        <f>VLOOKUP(F51,[4]std!$B:$E,4,FALSE)</f>
        <v>140.36928909744367</v>
      </c>
      <c r="AH51">
        <f>IFERROR(VLOOKUP(F51,[5]actual_week11_ppr_stats!$A:$B,2,FALSE),0)</f>
        <v>90.8</v>
      </c>
    </row>
    <row r="52" spans="1:34" x14ac:dyDescent="0.2">
      <c r="A52">
        <v>51</v>
      </c>
      <c r="B52">
        <v>17999</v>
      </c>
      <c r="C52" t="s">
        <v>87</v>
      </c>
      <c r="D52" t="str" cm="1">
        <f t="array" ref="D52:E52">_xlfn.TEXTSPLIT(C52, ", ")</f>
        <v>Hurts</v>
      </c>
      <c r="E52" t="str">
        <v>Jalen</v>
      </c>
      <c r="F52" t="str">
        <f t="shared" si="0"/>
        <v>Jalen Hurts</v>
      </c>
      <c r="G52" t="s">
        <v>18</v>
      </c>
      <c r="H52" t="s">
        <v>57</v>
      </c>
      <c r="I52">
        <v>50.39</v>
      </c>
      <c r="J52">
        <v>23</v>
      </c>
      <c r="K52">
        <v>68</v>
      </c>
      <c r="L52">
        <f>VLOOKUP(G52,byes!$A:$B,2,FALSE)</f>
        <v>9</v>
      </c>
      <c r="M52">
        <f t="shared" si="1"/>
        <v>0</v>
      </c>
      <c r="N52">
        <f t="shared" si="2"/>
        <v>0</v>
      </c>
      <c r="O52">
        <f t="shared" si="3"/>
        <v>0</v>
      </c>
      <c r="P52">
        <f t="shared" si="4"/>
        <v>0</v>
      </c>
      <c r="Q52">
        <f t="shared" si="5"/>
        <v>1</v>
      </c>
      <c r="R52">
        <f t="shared" si="6"/>
        <v>0</v>
      </c>
      <c r="S52">
        <f t="shared" si="7"/>
        <v>0</v>
      </c>
      <c r="T52">
        <f t="shared" si="8"/>
        <v>0</v>
      </c>
      <c r="U52">
        <f t="shared" si="9"/>
        <v>0</v>
      </c>
      <c r="V52">
        <f t="shared" si="10"/>
        <v>1</v>
      </c>
      <c r="W52">
        <f t="shared" si="11"/>
        <v>0</v>
      </c>
      <c r="X52">
        <f t="shared" si="12"/>
        <v>0</v>
      </c>
      <c r="Y52">
        <f t="shared" si="13"/>
        <v>0</v>
      </c>
      <c r="Z52">
        <f t="shared" si="14"/>
        <v>0</v>
      </c>
      <c r="AA52">
        <v>1</v>
      </c>
      <c r="AB52">
        <f>VLOOKUP(F52,[1]pff_ppr_projections!$B:$D,3,FALSE)</f>
        <v>333.3</v>
      </c>
      <c r="AC52">
        <f>VLOOKUP(F52,[2]numberFire_ppr_projections!$A:$B,2,FALSE)</f>
        <v>348.7</v>
      </c>
      <c r="AD52">
        <f>VLOOKUP(F52,[3]rotoballer_ppr_projections!$B:$G,6,FALSE)</f>
        <v>355</v>
      </c>
      <c r="AE52">
        <f>VLOOKUP(F52,[4]ppr!$B:$E,4,FALSE)</f>
        <v>361.81824306837785</v>
      </c>
      <c r="AF52">
        <f>VLOOKUP(F52,[4]half_ppr!$B:$E,4,FALSE)</f>
        <v>361.81824306837785</v>
      </c>
      <c r="AG52">
        <f>VLOOKUP(F52,[4]std!$B:$E,4,FALSE)</f>
        <v>361.81824306837785</v>
      </c>
      <c r="AH52">
        <f>IFERROR(VLOOKUP(F52,[5]actual_week11_ppr_stats!$A:$B,2,FALSE),0)</f>
        <v>205.3</v>
      </c>
    </row>
    <row r="53" spans="1:34" x14ac:dyDescent="0.2">
      <c r="A53">
        <v>52</v>
      </c>
      <c r="B53">
        <v>16065</v>
      </c>
      <c r="C53" t="s">
        <v>88</v>
      </c>
      <c r="D53" t="str" cm="1">
        <f t="array" ref="D53:E53">_xlfn.TEXTSPLIT(C53, ", ")</f>
        <v>Ridley</v>
      </c>
      <c r="E53" t="str">
        <v>Calvin</v>
      </c>
      <c r="F53" t="str">
        <f t="shared" si="0"/>
        <v>Calvin Ridley</v>
      </c>
      <c r="G53" t="s">
        <v>89</v>
      </c>
      <c r="H53" t="s">
        <v>9</v>
      </c>
      <c r="I53">
        <v>50.92</v>
      </c>
      <c r="J53">
        <v>34</v>
      </c>
      <c r="K53">
        <v>61</v>
      </c>
      <c r="L53">
        <f>VLOOKUP(G53,byes!$A:$B,2,FALSE)</f>
        <v>10</v>
      </c>
      <c r="M53">
        <f t="shared" si="1"/>
        <v>0</v>
      </c>
      <c r="N53">
        <f t="shared" si="2"/>
        <v>0</v>
      </c>
      <c r="O53">
        <f t="shared" si="3"/>
        <v>0</v>
      </c>
      <c r="P53">
        <f t="shared" si="4"/>
        <v>0</v>
      </c>
      <c r="Q53">
        <f t="shared" si="5"/>
        <v>0</v>
      </c>
      <c r="R53">
        <f t="shared" si="6"/>
        <v>1</v>
      </c>
      <c r="S53">
        <f t="shared" si="7"/>
        <v>0</v>
      </c>
      <c r="T53">
        <f t="shared" si="8"/>
        <v>0</v>
      </c>
      <c r="U53">
        <f t="shared" si="9"/>
        <v>0</v>
      </c>
      <c r="V53">
        <f t="shared" si="10"/>
        <v>0</v>
      </c>
      <c r="W53">
        <f t="shared" si="11"/>
        <v>0</v>
      </c>
      <c r="X53">
        <f t="shared" si="12"/>
        <v>1</v>
      </c>
      <c r="Y53">
        <f t="shared" si="13"/>
        <v>0</v>
      </c>
      <c r="Z53">
        <f t="shared" si="14"/>
        <v>1</v>
      </c>
      <c r="AA53">
        <f t="shared" si="15"/>
        <v>1</v>
      </c>
      <c r="AB53">
        <f>VLOOKUP(F53,[1]pff_ppr_projections!$B:$D,3,FALSE)</f>
        <v>191.6</v>
      </c>
      <c r="AC53">
        <f>VLOOKUP(F53,[2]numberFire_ppr_projections!$A:$B,2,FALSE)</f>
        <v>209.4</v>
      </c>
      <c r="AD53">
        <f>VLOOKUP(F53,[3]rotoballer_ppr_projections!$B:$G,6,FALSE)</f>
        <v>214</v>
      </c>
      <c r="AE53">
        <f>VLOOKUP(F53,[4]ppr!$B:$E,4,FALSE)</f>
        <v>240.58109428990556</v>
      </c>
      <c r="AF53">
        <f>VLOOKUP(F53,[4]half_ppr!$B:$E,4,FALSE)</f>
        <v>200.06558497870557</v>
      </c>
      <c r="AG53">
        <f>VLOOKUP(F53,[4]std!$B:$E,4,FALSE)</f>
        <v>159.55007566750558</v>
      </c>
      <c r="AH53">
        <f>IFERROR(VLOOKUP(F53,[5]actual_week11_ppr_stats!$A:$B,2,FALSE),0)</f>
        <v>47.3</v>
      </c>
    </row>
    <row r="54" spans="1:34" x14ac:dyDescent="0.2">
      <c r="A54">
        <v>53</v>
      </c>
      <c r="B54">
        <v>19435</v>
      </c>
      <c r="C54" t="s">
        <v>90</v>
      </c>
      <c r="D54" t="str" cm="1">
        <f t="array" ref="D54:E54">_xlfn.TEXTSPLIT(C54, ", ")</f>
        <v>Williams</v>
      </c>
      <c r="E54" t="str">
        <v>Jameson</v>
      </c>
      <c r="F54" t="str">
        <f t="shared" si="0"/>
        <v>Jameson Williams</v>
      </c>
      <c r="G54" t="s">
        <v>14</v>
      </c>
      <c r="H54" t="s">
        <v>9</v>
      </c>
      <c r="I54">
        <v>51.22</v>
      </c>
      <c r="J54">
        <v>39</v>
      </c>
      <c r="K54">
        <v>60</v>
      </c>
      <c r="L54">
        <f>VLOOKUP(G54,byes!$A:$B,2,FALSE)</f>
        <v>8</v>
      </c>
      <c r="M54">
        <f t="shared" si="1"/>
        <v>0</v>
      </c>
      <c r="N54">
        <f t="shared" si="2"/>
        <v>0</v>
      </c>
      <c r="O54">
        <f t="shared" si="3"/>
        <v>0</v>
      </c>
      <c r="P54">
        <f t="shared" si="4"/>
        <v>1</v>
      </c>
      <c r="Q54">
        <f t="shared" si="5"/>
        <v>0</v>
      </c>
      <c r="R54">
        <f t="shared" si="6"/>
        <v>0</v>
      </c>
      <c r="S54">
        <f t="shared" si="7"/>
        <v>0</v>
      </c>
      <c r="T54">
        <f t="shared" si="8"/>
        <v>0</v>
      </c>
      <c r="U54">
        <f t="shared" si="9"/>
        <v>0</v>
      </c>
      <c r="V54">
        <f t="shared" si="10"/>
        <v>0</v>
      </c>
      <c r="W54">
        <f t="shared" si="11"/>
        <v>0</v>
      </c>
      <c r="X54">
        <f t="shared" si="12"/>
        <v>1</v>
      </c>
      <c r="Y54">
        <f t="shared" si="13"/>
        <v>0</v>
      </c>
      <c r="Z54">
        <f t="shared" si="14"/>
        <v>1</v>
      </c>
      <c r="AA54">
        <v>1</v>
      </c>
      <c r="AB54">
        <f>VLOOKUP(F54,[1]pff_ppr_projections!$B:$D,3,FALSE)</f>
        <v>215.1</v>
      </c>
      <c r="AC54">
        <f>VLOOKUP(F54,[2]numberFire_ppr_projections!$A:$B,2,FALSE)</f>
        <v>188.6</v>
      </c>
      <c r="AD54">
        <f>VLOOKUP(F54,[3]rotoballer_ppr_projections!$B:$G,6,FALSE)</f>
        <v>203</v>
      </c>
      <c r="AE54">
        <f>VLOOKUP(F54,[4]ppr!$B:$E,4,FALSE)</f>
        <v>245.54674638529653</v>
      </c>
      <c r="AF54">
        <f>VLOOKUP(F54,[4]half_ppr!$B:$E,4,FALSE)</f>
        <v>209.38899668449656</v>
      </c>
      <c r="AG54">
        <f>VLOOKUP(F54,[4]std!$B:$E,4,FALSE)</f>
        <v>173.23124698369656</v>
      </c>
      <c r="AH54">
        <f>IFERROR(VLOOKUP(F54,[5]actual_week11_ppr_stats!$A:$B,2,FALSE),0)</f>
        <v>118.2</v>
      </c>
    </row>
    <row r="55" spans="1:34" x14ac:dyDescent="0.2">
      <c r="A55">
        <v>54</v>
      </c>
      <c r="B55">
        <v>18773</v>
      </c>
      <c r="C55" t="s">
        <v>91</v>
      </c>
      <c r="D55" t="str" cm="1">
        <f t="array" ref="D55:E55">_xlfn.TEXTSPLIT(C55, ", ")</f>
        <v>Hubbard</v>
      </c>
      <c r="E55" t="str">
        <v>Chuba</v>
      </c>
      <c r="F55" t="str">
        <f t="shared" si="0"/>
        <v>Chuba Hubbard</v>
      </c>
      <c r="G55" t="s">
        <v>68</v>
      </c>
      <c r="H55" t="s">
        <v>12</v>
      </c>
      <c r="I55">
        <v>53.79</v>
      </c>
      <c r="J55">
        <v>33</v>
      </c>
      <c r="K55">
        <v>71</v>
      </c>
      <c r="L55">
        <f>VLOOKUP(G55,byes!$A:$B,2,FALSE)</f>
        <v>14</v>
      </c>
      <c r="M55">
        <f t="shared" si="1"/>
        <v>0</v>
      </c>
      <c r="N55">
        <f t="shared" si="2"/>
        <v>0</v>
      </c>
      <c r="O55">
        <f t="shared" si="3"/>
        <v>0</v>
      </c>
      <c r="P55">
        <f t="shared" si="4"/>
        <v>0</v>
      </c>
      <c r="Q55">
        <f t="shared" si="5"/>
        <v>0</v>
      </c>
      <c r="R55">
        <f t="shared" si="6"/>
        <v>0</v>
      </c>
      <c r="S55">
        <f t="shared" si="7"/>
        <v>0</v>
      </c>
      <c r="T55">
        <f t="shared" si="8"/>
        <v>0</v>
      </c>
      <c r="U55">
        <f t="shared" si="9"/>
        <v>1</v>
      </c>
      <c r="V55">
        <f t="shared" si="10"/>
        <v>0</v>
      </c>
      <c r="W55">
        <f t="shared" si="11"/>
        <v>1</v>
      </c>
      <c r="X55">
        <f t="shared" si="12"/>
        <v>0</v>
      </c>
      <c r="Y55">
        <f t="shared" si="13"/>
        <v>0</v>
      </c>
      <c r="Z55">
        <f t="shared" si="14"/>
        <v>1</v>
      </c>
      <c r="AA55">
        <v>1</v>
      </c>
      <c r="AB55">
        <f>VLOOKUP(F55,[1]pff_ppr_projections!$B:$D,3,FALSE)</f>
        <v>216.7</v>
      </c>
      <c r="AC55">
        <f>VLOOKUP(F55,[2]numberFire_ppr_projections!$A:$B,2,FALSE)</f>
        <v>165.6</v>
      </c>
      <c r="AD55">
        <f>VLOOKUP(F55,[3]rotoballer_ppr_projections!$B:$G,6,FALSE)</f>
        <v>219</v>
      </c>
      <c r="AE55">
        <f>VLOOKUP(F55,[4]ppr!$B:$E,4,FALSE)</f>
        <v>231.57683621440563</v>
      </c>
      <c r="AF55">
        <f>VLOOKUP(F55,[4]half_ppr!$B:$E,4,FALSE)</f>
        <v>210.92516893690564</v>
      </c>
      <c r="AG55">
        <f>VLOOKUP(F55,[4]std!$B:$E,4,FALSE)</f>
        <v>190.27350165940564</v>
      </c>
      <c r="AH55">
        <f>IFERROR(VLOOKUP(F55,[5]actual_week11_ppr_stats!$A:$B,2,FALSE),0)</f>
        <v>81</v>
      </c>
    </row>
    <row r="56" spans="1:34" x14ac:dyDescent="0.2">
      <c r="A56">
        <v>55</v>
      </c>
      <c r="B56">
        <v>22063</v>
      </c>
      <c r="C56" t="s">
        <v>92</v>
      </c>
      <c r="D56" t="str" cm="1">
        <f t="array" ref="D56:E56">_xlfn.TEXTSPLIT(C56, ", ")</f>
        <v>Egbuka</v>
      </c>
      <c r="E56" t="str">
        <v>Emeka</v>
      </c>
      <c r="F56" t="str">
        <f t="shared" si="0"/>
        <v>Emeka Egbuka</v>
      </c>
      <c r="G56" t="s">
        <v>45</v>
      </c>
      <c r="H56" t="s">
        <v>9</v>
      </c>
      <c r="I56">
        <v>54.45</v>
      </c>
      <c r="J56">
        <v>39</v>
      </c>
      <c r="K56">
        <v>66</v>
      </c>
      <c r="L56">
        <f>VLOOKUP(G56,byes!$A:$B,2,FALSE)</f>
        <v>9</v>
      </c>
      <c r="M56">
        <f t="shared" si="1"/>
        <v>0</v>
      </c>
      <c r="N56">
        <f t="shared" si="2"/>
        <v>0</v>
      </c>
      <c r="O56">
        <f t="shared" si="3"/>
        <v>0</v>
      </c>
      <c r="P56">
        <f t="shared" si="4"/>
        <v>0</v>
      </c>
      <c r="Q56">
        <f t="shared" si="5"/>
        <v>1</v>
      </c>
      <c r="R56">
        <f t="shared" si="6"/>
        <v>0</v>
      </c>
      <c r="S56">
        <f t="shared" si="7"/>
        <v>0</v>
      </c>
      <c r="T56">
        <f t="shared" si="8"/>
        <v>0</v>
      </c>
      <c r="U56">
        <f t="shared" si="9"/>
        <v>0</v>
      </c>
      <c r="V56">
        <f t="shared" si="10"/>
        <v>0</v>
      </c>
      <c r="W56">
        <f t="shared" si="11"/>
        <v>0</v>
      </c>
      <c r="X56">
        <f t="shared" si="12"/>
        <v>1</v>
      </c>
      <c r="Y56">
        <f t="shared" si="13"/>
        <v>0</v>
      </c>
      <c r="Z56">
        <f t="shared" si="14"/>
        <v>1</v>
      </c>
      <c r="AA56">
        <v>1</v>
      </c>
      <c r="AB56">
        <f>VLOOKUP(F56,[1]pff_ppr_projections!$B:$D,3,FALSE)</f>
        <v>128.9</v>
      </c>
      <c r="AC56" s="1">
        <f>AVERAGE(AB56,AD56,AE56)</f>
        <v>176.10550226861366</v>
      </c>
      <c r="AD56">
        <f>VLOOKUP(F56,[3]rotoballer_ppr_projections!$B:$G,6,FALSE)</f>
        <v>171</v>
      </c>
      <c r="AE56">
        <f>VLOOKUP(F56,[4]ppr!$B:$E,4,FALSE)</f>
        <v>228.41650680584095</v>
      </c>
      <c r="AF56">
        <f>VLOOKUP(F56,[4]half_ppr!$B:$E,4,FALSE)</f>
        <v>189.33158481700096</v>
      </c>
      <c r="AG56">
        <f>VLOOKUP(F56,[4]std!$B:$E,4,FALSE)</f>
        <v>150.24666282816094</v>
      </c>
      <c r="AH56">
        <f>IFERROR(VLOOKUP(F56,[5]actual_week11_ppr_stats!$A:$B,2,FALSE),0)</f>
        <v>153.6</v>
      </c>
    </row>
    <row r="57" spans="1:34" x14ac:dyDescent="0.2">
      <c r="A57">
        <v>56</v>
      </c>
      <c r="B57">
        <v>18778</v>
      </c>
      <c r="C57" t="s">
        <v>93</v>
      </c>
      <c r="D57" t="str" cm="1">
        <f t="array" ref="D57:E57">_xlfn.TEXTSPLIT(C57, ", ")</f>
        <v>Smith</v>
      </c>
      <c r="E57" t="str">
        <v>DeVonta</v>
      </c>
      <c r="F57" t="str">
        <f t="shared" si="0"/>
        <v>DeVonta Smith</v>
      </c>
      <c r="G57" t="s">
        <v>18</v>
      </c>
      <c r="H57" t="s">
        <v>9</v>
      </c>
      <c r="I57">
        <v>57.56</v>
      </c>
      <c r="J57">
        <v>46</v>
      </c>
      <c r="K57">
        <v>70</v>
      </c>
      <c r="L57">
        <f>VLOOKUP(G57,byes!$A:$B,2,FALSE)</f>
        <v>9</v>
      </c>
      <c r="M57">
        <f t="shared" si="1"/>
        <v>0</v>
      </c>
      <c r="N57">
        <f t="shared" si="2"/>
        <v>0</v>
      </c>
      <c r="O57">
        <f t="shared" si="3"/>
        <v>0</v>
      </c>
      <c r="P57">
        <f t="shared" si="4"/>
        <v>0</v>
      </c>
      <c r="Q57">
        <f t="shared" si="5"/>
        <v>1</v>
      </c>
      <c r="R57">
        <f t="shared" si="6"/>
        <v>0</v>
      </c>
      <c r="S57">
        <f t="shared" si="7"/>
        <v>0</v>
      </c>
      <c r="T57">
        <f t="shared" si="8"/>
        <v>0</v>
      </c>
      <c r="U57">
        <f t="shared" si="9"/>
        <v>0</v>
      </c>
      <c r="V57">
        <f t="shared" si="10"/>
        <v>0</v>
      </c>
      <c r="W57">
        <f t="shared" si="11"/>
        <v>0</v>
      </c>
      <c r="X57">
        <f t="shared" si="12"/>
        <v>1</v>
      </c>
      <c r="Y57">
        <f t="shared" si="13"/>
        <v>0</v>
      </c>
      <c r="Z57">
        <f t="shared" si="14"/>
        <v>1</v>
      </c>
      <c r="AA57">
        <f t="shared" si="15"/>
        <v>1</v>
      </c>
      <c r="AB57">
        <f>VLOOKUP(F57,[1]pff_ppr_projections!$B:$D,3,FALSE)</f>
        <v>214.1</v>
      </c>
      <c r="AC57">
        <f>VLOOKUP(F57,[2]numberFire_ppr_projections!$A:$B,2,FALSE)</f>
        <v>218.9</v>
      </c>
      <c r="AD57">
        <f>VLOOKUP(F57,[3]rotoballer_ppr_projections!$B:$G,6,FALSE)</f>
        <v>223</v>
      </c>
      <c r="AE57">
        <f>VLOOKUP(F57,[4]ppr!$B:$E,4,FALSE)</f>
        <v>215.18248764437675</v>
      </c>
      <c r="AF57">
        <f>VLOOKUP(F57,[4]half_ppr!$B:$E,4,FALSE)</f>
        <v>179.03552155578001</v>
      </c>
      <c r="AG57">
        <f>VLOOKUP(F57,[4]std!$B:$E,4,FALSE)</f>
        <v>142.88855546718329</v>
      </c>
      <c r="AH57">
        <f>IFERROR(VLOOKUP(F57,[5]actual_week11_ppr_stats!$A:$B,2,FALSE),0)</f>
        <v>133.5</v>
      </c>
    </row>
    <row r="58" spans="1:34" x14ac:dyDescent="0.2">
      <c r="A58">
        <v>57</v>
      </c>
      <c r="B58">
        <v>15306</v>
      </c>
      <c r="C58" t="s">
        <v>94</v>
      </c>
      <c r="D58" t="str" cm="1">
        <f t="array" ref="D58:E58">_xlfn.TEXTSPLIT(C58, ", ")</f>
        <v>Conner</v>
      </c>
      <c r="E58" t="str">
        <v>James</v>
      </c>
      <c r="F58" t="str">
        <f t="shared" si="0"/>
        <v>James Conner</v>
      </c>
      <c r="G58" t="s">
        <v>55</v>
      </c>
      <c r="H58" t="s">
        <v>12</v>
      </c>
      <c r="I58">
        <v>59.25</v>
      </c>
      <c r="J58">
        <v>45</v>
      </c>
      <c r="K58">
        <v>72</v>
      </c>
      <c r="L58">
        <f>VLOOKUP(G58,byes!$A:$B,2,FALSE)</f>
        <v>8</v>
      </c>
      <c r="M58">
        <f t="shared" si="1"/>
        <v>0</v>
      </c>
      <c r="N58">
        <f t="shared" si="2"/>
        <v>0</v>
      </c>
      <c r="O58">
        <f t="shared" si="3"/>
        <v>0</v>
      </c>
      <c r="P58">
        <f t="shared" si="4"/>
        <v>1</v>
      </c>
      <c r="Q58">
        <f t="shared" si="5"/>
        <v>0</v>
      </c>
      <c r="R58">
        <f t="shared" si="6"/>
        <v>0</v>
      </c>
      <c r="S58">
        <f t="shared" si="7"/>
        <v>0</v>
      </c>
      <c r="T58">
        <f t="shared" si="8"/>
        <v>0</v>
      </c>
      <c r="U58">
        <f t="shared" si="9"/>
        <v>0</v>
      </c>
      <c r="V58">
        <f t="shared" si="10"/>
        <v>0</v>
      </c>
      <c r="W58">
        <f t="shared" si="11"/>
        <v>1</v>
      </c>
      <c r="X58">
        <f t="shared" si="12"/>
        <v>0</v>
      </c>
      <c r="Y58">
        <f t="shared" si="13"/>
        <v>0</v>
      </c>
      <c r="Z58">
        <f t="shared" si="14"/>
        <v>1</v>
      </c>
      <c r="AA58">
        <v>1</v>
      </c>
      <c r="AB58">
        <f>VLOOKUP(F58,[1]pff_ppr_projections!$B:$D,3,FALSE)</f>
        <v>218.8</v>
      </c>
      <c r="AC58">
        <f>VLOOKUP(F58,[2]numberFire_ppr_projections!$A:$B,2,FALSE)</f>
        <v>202.7</v>
      </c>
      <c r="AD58" s="1">
        <f>AVERAGE(AB58,AC58,AE58)</f>
        <v>219.2604777688164</v>
      </c>
      <c r="AE58">
        <f>VLOOKUP(F58,[4]ppr!$B:$E,4,FALSE)</f>
        <v>236.28143330644923</v>
      </c>
      <c r="AF58">
        <f>VLOOKUP(F58,[4]half_ppr!$B:$E,4,FALSE)</f>
        <v>216.02586858870563</v>
      </c>
      <c r="AG58">
        <f>VLOOKUP(F58,[4]std!$B:$E,4,FALSE)</f>
        <v>195.77030387096204</v>
      </c>
      <c r="AH58">
        <f>IFERROR(VLOOKUP(F58,[5]actual_week11_ppr_stats!$A:$B,2,FALSE),0)</f>
        <v>33.299999999999997</v>
      </c>
    </row>
    <row r="59" spans="1:34" x14ac:dyDescent="0.2">
      <c r="A59">
        <v>58</v>
      </c>
      <c r="B59">
        <v>20288</v>
      </c>
      <c r="C59" t="s">
        <v>95</v>
      </c>
      <c r="D59" t="str" cm="1">
        <f t="array" ref="D59:E59">_xlfn.TEXTSPLIT(C59, ", ")</f>
        <v>Flowers</v>
      </c>
      <c r="E59" t="str">
        <v>Zay</v>
      </c>
      <c r="F59" t="str">
        <f t="shared" si="0"/>
        <v>Zay Flowers</v>
      </c>
      <c r="G59" t="s">
        <v>33</v>
      </c>
      <c r="H59" t="s">
        <v>9</v>
      </c>
      <c r="I59">
        <v>59.25</v>
      </c>
      <c r="J59">
        <v>48</v>
      </c>
      <c r="K59">
        <v>72</v>
      </c>
      <c r="L59">
        <f>VLOOKUP(G59,byes!$A:$B,2,FALSE)</f>
        <v>7</v>
      </c>
      <c r="M59">
        <f t="shared" si="1"/>
        <v>0</v>
      </c>
      <c r="N59">
        <f t="shared" si="2"/>
        <v>0</v>
      </c>
      <c r="O59">
        <f t="shared" si="3"/>
        <v>1</v>
      </c>
      <c r="P59">
        <f t="shared" si="4"/>
        <v>0</v>
      </c>
      <c r="Q59">
        <f t="shared" si="5"/>
        <v>0</v>
      </c>
      <c r="R59">
        <f t="shared" si="6"/>
        <v>0</v>
      </c>
      <c r="S59">
        <f t="shared" si="7"/>
        <v>0</v>
      </c>
      <c r="T59">
        <f t="shared" si="8"/>
        <v>0</v>
      </c>
      <c r="U59">
        <f t="shared" si="9"/>
        <v>0</v>
      </c>
      <c r="V59">
        <f t="shared" si="10"/>
        <v>0</v>
      </c>
      <c r="W59">
        <f t="shared" si="11"/>
        <v>0</v>
      </c>
      <c r="X59">
        <f t="shared" si="12"/>
        <v>1</v>
      </c>
      <c r="Y59">
        <f t="shared" si="13"/>
        <v>0</v>
      </c>
      <c r="Z59">
        <f t="shared" si="14"/>
        <v>1</v>
      </c>
      <c r="AA59">
        <v>1</v>
      </c>
      <c r="AB59">
        <f>VLOOKUP(F59,[1]pff_ppr_projections!$B:$D,3,FALSE)</f>
        <v>212.7</v>
      </c>
      <c r="AC59">
        <f>VLOOKUP(F59,[2]numberFire_ppr_projections!$A:$B,2,FALSE)</f>
        <v>228.3</v>
      </c>
      <c r="AD59">
        <f>VLOOKUP(F59,[3]rotoballer_ppr_projections!$B:$G,6,FALSE)</f>
        <v>221</v>
      </c>
      <c r="AE59">
        <f>VLOOKUP(F59,[4]ppr!$B:$E,4,FALSE)</f>
        <v>204.81427659633124</v>
      </c>
      <c r="AF59">
        <f>VLOOKUP(F59,[4]half_ppr!$B:$E,4,FALSE)</f>
        <v>168.75590888369123</v>
      </c>
      <c r="AG59">
        <f>VLOOKUP(F59,[4]std!$B:$E,4,FALSE)</f>
        <v>132.69754117105123</v>
      </c>
      <c r="AH59">
        <f>IFERROR(VLOOKUP(F59,[5]actual_week11_ppr_stats!$A:$B,2,FALSE),0)</f>
        <v>132.4</v>
      </c>
    </row>
    <row r="60" spans="1:34" x14ac:dyDescent="0.2">
      <c r="A60">
        <v>59</v>
      </c>
      <c r="B60">
        <v>22111</v>
      </c>
      <c r="C60" t="s">
        <v>96</v>
      </c>
      <c r="D60" t="str" cm="1">
        <f t="array" ref="D60:E60">_xlfn.TEXTSPLIT(C60, ", ")</f>
        <v>Harvey</v>
      </c>
      <c r="E60" t="str">
        <v>RJ</v>
      </c>
      <c r="F60" t="str">
        <f t="shared" si="0"/>
        <v>RJ Harvey</v>
      </c>
      <c r="G60" t="s">
        <v>79</v>
      </c>
      <c r="H60" t="s">
        <v>12</v>
      </c>
      <c r="I60">
        <v>59.48</v>
      </c>
      <c r="J60">
        <v>17</v>
      </c>
      <c r="K60">
        <v>72</v>
      </c>
      <c r="L60">
        <f>VLOOKUP(G60,byes!$A:$B,2,FALSE)</f>
        <v>12</v>
      </c>
      <c r="M60">
        <f t="shared" si="1"/>
        <v>0</v>
      </c>
      <c r="N60">
        <f t="shared" si="2"/>
        <v>0</v>
      </c>
      <c r="O60">
        <f t="shared" si="3"/>
        <v>0</v>
      </c>
      <c r="P60">
        <f t="shared" si="4"/>
        <v>0</v>
      </c>
      <c r="Q60">
        <f t="shared" si="5"/>
        <v>0</v>
      </c>
      <c r="R60">
        <f t="shared" si="6"/>
        <v>0</v>
      </c>
      <c r="S60">
        <f t="shared" si="7"/>
        <v>0</v>
      </c>
      <c r="T60">
        <f t="shared" si="8"/>
        <v>1</v>
      </c>
      <c r="U60">
        <f t="shared" si="9"/>
        <v>0</v>
      </c>
      <c r="V60">
        <f t="shared" si="10"/>
        <v>0</v>
      </c>
      <c r="W60">
        <f t="shared" si="11"/>
        <v>1</v>
      </c>
      <c r="X60">
        <f t="shared" si="12"/>
        <v>0</v>
      </c>
      <c r="Y60">
        <f t="shared" si="13"/>
        <v>0</v>
      </c>
      <c r="Z60">
        <f t="shared" si="14"/>
        <v>1</v>
      </c>
      <c r="AA60">
        <v>1</v>
      </c>
      <c r="AB60">
        <f>VLOOKUP(F60,[1]pff_ppr_projections!$B:$D,3,FALSE)</f>
        <v>220</v>
      </c>
      <c r="AC60">
        <f>VLOOKUP(F60,[2]numberFire_ppr_projections!$A:$B,2,FALSE)</f>
        <v>134.4</v>
      </c>
      <c r="AD60">
        <f>VLOOKUP(F60,[3]rotoballer_ppr_projections!$B:$G,6,FALSE)</f>
        <v>177</v>
      </c>
      <c r="AE60">
        <f>VLOOKUP(F60,[4]ppr!$B:$E,4,FALSE)</f>
        <v>193.59501930507199</v>
      </c>
      <c r="AF60">
        <f>VLOOKUP(F60,[4]half_ppr!$B:$E,4,FALSE)</f>
        <v>176.16312544107197</v>
      </c>
      <c r="AG60">
        <f>VLOOKUP(F60,[4]std!$B:$E,4,FALSE)</f>
        <v>158.73123157707198</v>
      </c>
      <c r="AH60">
        <f>IFERROR(VLOOKUP(F60,[5]actual_week11_ppr_stats!$A:$B,2,FALSE),0)</f>
        <v>107.9</v>
      </c>
    </row>
    <row r="61" spans="1:34" x14ac:dyDescent="0.2">
      <c r="A61">
        <v>60</v>
      </c>
      <c r="B61">
        <v>21146</v>
      </c>
      <c r="C61" t="s">
        <v>97</v>
      </c>
      <c r="D61" t="str" cm="1">
        <f t="array" ref="D61:E61">_xlfn.TEXTSPLIT(C61, ", ")</f>
        <v>Pearsall</v>
      </c>
      <c r="E61" t="str">
        <v>Ricky</v>
      </c>
      <c r="F61" t="str">
        <f t="shared" si="0"/>
        <v>Ricky Pearsall</v>
      </c>
      <c r="G61" t="s">
        <v>22</v>
      </c>
      <c r="H61" t="s">
        <v>9</v>
      </c>
      <c r="I61">
        <v>59.5</v>
      </c>
      <c r="J61">
        <v>43</v>
      </c>
      <c r="K61">
        <v>72</v>
      </c>
      <c r="L61">
        <f>VLOOKUP(G61,byes!$A:$B,2,FALSE)</f>
        <v>14</v>
      </c>
      <c r="M61">
        <f t="shared" si="1"/>
        <v>0</v>
      </c>
      <c r="N61">
        <f t="shared" si="2"/>
        <v>0</v>
      </c>
      <c r="O61">
        <f t="shared" si="3"/>
        <v>0</v>
      </c>
      <c r="P61">
        <f t="shared" si="4"/>
        <v>0</v>
      </c>
      <c r="Q61">
        <f t="shared" si="5"/>
        <v>0</v>
      </c>
      <c r="R61">
        <f t="shared" si="6"/>
        <v>0</v>
      </c>
      <c r="S61">
        <f t="shared" si="7"/>
        <v>0</v>
      </c>
      <c r="T61">
        <f t="shared" si="8"/>
        <v>0</v>
      </c>
      <c r="U61">
        <f t="shared" si="9"/>
        <v>1</v>
      </c>
      <c r="V61">
        <f t="shared" si="10"/>
        <v>0</v>
      </c>
      <c r="W61">
        <f t="shared" si="11"/>
        <v>0</v>
      </c>
      <c r="X61">
        <f t="shared" si="12"/>
        <v>1</v>
      </c>
      <c r="Y61">
        <f t="shared" si="13"/>
        <v>0</v>
      </c>
      <c r="Z61">
        <f t="shared" si="14"/>
        <v>1</v>
      </c>
      <c r="AA61">
        <f t="shared" si="15"/>
        <v>1</v>
      </c>
      <c r="AB61">
        <f>VLOOKUP(F61,[1]pff_ppr_projections!$B:$D,3,FALSE)</f>
        <v>136.4</v>
      </c>
      <c r="AC61">
        <f>VLOOKUP(F61,[2]numberFire_ppr_projections!$A:$B,2,FALSE)</f>
        <v>177.4</v>
      </c>
      <c r="AD61">
        <f>VLOOKUP(F61,[3]rotoballer_ppr_projections!$B:$G,6,FALSE)</f>
        <v>192</v>
      </c>
      <c r="AE61">
        <f>VLOOKUP(F61,[4]ppr!$B:$E,4,FALSE)</f>
        <v>231.98824446265442</v>
      </c>
      <c r="AF61">
        <f>VLOOKUP(F61,[4]half_ppr!$B:$E,4,FALSE)</f>
        <v>192.12217336045441</v>
      </c>
      <c r="AG61">
        <f>VLOOKUP(F61,[4]std!$B:$E,4,FALSE)</f>
        <v>152.25610225825443</v>
      </c>
      <c r="AH61">
        <f>IFERROR(VLOOKUP(F61,[5]actual_week11_ppr_stats!$A:$B,2,FALSE),0)</f>
        <v>53.3</v>
      </c>
    </row>
    <row r="62" spans="1:34" x14ac:dyDescent="0.2">
      <c r="A62">
        <v>61</v>
      </c>
      <c r="B62">
        <v>18781</v>
      </c>
      <c r="C62" t="s">
        <v>98</v>
      </c>
      <c r="D62" t="str" cm="1">
        <f t="array" ref="D62:E62">_xlfn.TEXTSPLIT(C62, ", ")</f>
        <v>Waddle</v>
      </c>
      <c r="E62" t="str">
        <v>Jaylen</v>
      </c>
      <c r="F62" t="str">
        <f t="shared" si="0"/>
        <v>Jaylen Waddle</v>
      </c>
      <c r="G62" t="s">
        <v>38</v>
      </c>
      <c r="H62" t="s">
        <v>9</v>
      </c>
      <c r="I62">
        <v>60.46</v>
      </c>
      <c r="J62">
        <v>49</v>
      </c>
      <c r="K62">
        <v>80</v>
      </c>
      <c r="L62">
        <f>VLOOKUP(G62,byes!$A:$B,2,FALSE)</f>
        <v>12</v>
      </c>
      <c r="M62">
        <f t="shared" si="1"/>
        <v>0</v>
      </c>
      <c r="N62">
        <f t="shared" si="2"/>
        <v>0</v>
      </c>
      <c r="O62">
        <f t="shared" si="3"/>
        <v>0</v>
      </c>
      <c r="P62">
        <f t="shared" si="4"/>
        <v>0</v>
      </c>
      <c r="Q62">
        <f t="shared" si="5"/>
        <v>0</v>
      </c>
      <c r="R62">
        <f t="shared" si="6"/>
        <v>0</v>
      </c>
      <c r="S62">
        <f t="shared" si="7"/>
        <v>0</v>
      </c>
      <c r="T62">
        <f t="shared" si="8"/>
        <v>1</v>
      </c>
      <c r="U62">
        <f t="shared" si="9"/>
        <v>0</v>
      </c>
      <c r="V62">
        <f t="shared" si="10"/>
        <v>0</v>
      </c>
      <c r="W62">
        <f t="shared" si="11"/>
        <v>0</v>
      </c>
      <c r="X62">
        <f t="shared" si="12"/>
        <v>1</v>
      </c>
      <c r="Y62">
        <f t="shared" si="13"/>
        <v>0</v>
      </c>
      <c r="Z62">
        <f t="shared" si="14"/>
        <v>1</v>
      </c>
      <c r="AA62">
        <v>1</v>
      </c>
      <c r="AB62">
        <f>VLOOKUP(F62,[1]pff_ppr_projections!$B:$D,3,FALSE)</f>
        <v>210</v>
      </c>
      <c r="AC62">
        <f>VLOOKUP(F62,[2]numberFire_ppr_projections!$A:$B,2,FALSE)</f>
        <v>190.4</v>
      </c>
      <c r="AD62">
        <f>VLOOKUP(F62,[3]rotoballer_ppr_projections!$B:$G,6,FALSE)</f>
        <v>210</v>
      </c>
      <c r="AE62">
        <f>VLOOKUP(F62,[4]ppr!$B:$E,4,FALSE)</f>
        <v>225.51654372460081</v>
      </c>
      <c r="AF62">
        <f>VLOOKUP(F62,[4]half_ppr!$B:$E,4,FALSE)</f>
        <v>185.51722156180082</v>
      </c>
      <c r="AG62">
        <f>VLOOKUP(F62,[4]std!$B:$E,4,FALSE)</f>
        <v>145.51789939900081</v>
      </c>
      <c r="AH62">
        <f>IFERROR(VLOOKUP(F62,[5]actual_week11_ppr_stats!$A:$B,2,FALSE),0)</f>
        <v>151.19999999999999</v>
      </c>
    </row>
    <row r="63" spans="1:34" x14ac:dyDescent="0.2">
      <c r="A63">
        <v>62</v>
      </c>
      <c r="B63">
        <v>17961</v>
      </c>
      <c r="C63" t="s">
        <v>99</v>
      </c>
      <c r="D63" t="str" cm="1">
        <f t="array" ref="D63:E63">_xlfn.TEXTSPLIT(C63, ", ")</f>
        <v>Swift</v>
      </c>
      <c r="E63" t="str">
        <v>D'Andre</v>
      </c>
      <c r="F63" t="str">
        <f t="shared" si="0"/>
        <v>D'Andre Swift</v>
      </c>
      <c r="G63" t="s">
        <v>86</v>
      </c>
      <c r="H63" t="s">
        <v>12</v>
      </c>
      <c r="I63">
        <v>62.41</v>
      </c>
      <c r="J63">
        <v>39</v>
      </c>
      <c r="K63">
        <v>78</v>
      </c>
      <c r="L63">
        <f>VLOOKUP(G63,byes!$A:$B,2,FALSE)</f>
        <v>5</v>
      </c>
      <c r="M63">
        <f t="shared" si="1"/>
        <v>1</v>
      </c>
      <c r="N63">
        <f t="shared" si="2"/>
        <v>0</v>
      </c>
      <c r="O63">
        <f t="shared" si="3"/>
        <v>0</v>
      </c>
      <c r="P63">
        <f t="shared" si="4"/>
        <v>0</v>
      </c>
      <c r="Q63">
        <f t="shared" si="5"/>
        <v>0</v>
      </c>
      <c r="R63">
        <f t="shared" si="6"/>
        <v>0</v>
      </c>
      <c r="S63">
        <f t="shared" si="7"/>
        <v>0</v>
      </c>
      <c r="T63">
        <f t="shared" si="8"/>
        <v>0</v>
      </c>
      <c r="U63">
        <f t="shared" si="9"/>
        <v>0</v>
      </c>
      <c r="V63">
        <f t="shared" si="10"/>
        <v>0</v>
      </c>
      <c r="W63">
        <f t="shared" si="11"/>
        <v>1</v>
      </c>
      <c r="X63">
        <f t="shared" si="12"/>
        <v>0</v>
      </c>
      <c r="Y63">
        <f t="shared" si="13"/>
        <v>0</v>
      </c>
      <c r="Z63">
        <f t="shared" si="14"/>
        <v>1</v>
      </c>
      <c r="AA63">
        <v>1</v>
      </c>
      <c r="AB63">
        <f>VLOOKUP(F63,[1]pff_ppr_projections!$B:$D,3,FALSE)</f>
        <v>209</v>
      </c>
      <c r="AC63">
        <f>VLOOKUP(F63,[2]numberFire_ppr_projections!$A:$B,2,FALSE)</f>
        <v>180</v>
      </c>
      <c r="AD63">
        <f>VLOOKUP(F63,[3]rotoballer_ppr_projections!$B:$G,6,FALSE)</f>
        <v>199</v>
      </c>
      <c r="AE63">
        <f>VLOOKUP(F63,[4]ppr!$B:$E,4,FALSE)</f>
        <v>212.7723716971494</v>
      </c>
      <c r="AF63">
        <f>VLOOKUP(F63,[4]half_ppr!$B:$E,4,FALSE)</f>
        <v>191.76229062194938</v>
      </c>
      <c r="AG63">
        <f>VLOOKUP(F63,[4]std!$B:$E,4,FALSE)</f>
        <v>170.75220954674938</v>
      </c>
      <c r="AH63">
        <f>IFERROR(VLOOKUP(F63,[5]actual_week11_ppr_stats!$A:$B,2,FALSE),0)</f>
        <v>137.4</v>
      </c>
    </row>
    <row r="64" spans="1:34" x14ac:dyDescent="0.2">
      <c r="A64">
        <v>63</v>
      </c>
      <c r="B64">
        <v>17067</v>
      </c>
      <c r="C64" t="s">
        <v>100</v>
      </c>
      <c r="D64" t="str" cm="1">
        <f t="array" ref="D64:E64">_xlfn.TEXTSPLIT(C64, ", ")</f>
        <v>Pollard</v>
      </c>
      <c r="E64" t="str">
        <v>Tony</v>
      </c>
      <c r="F64" t="str">
        <f t="shared" si="0"/>
        <v>Tony Pollard</v>
      </c>
      <c r="G64" t="s">
        <v>89</v>
      </c>
      <c r="H64" t="s">
        <v>12</v>
      </c>
      <c r="I64">
        <v>62.69</v>
      </c>
      <c r="J64">
        <v>42</v>
      </c>
      <c r="K64">
        <v>75</v>
      </c>
      <c r="L64">
        <f>VLOOKUP(G64,byes!$A:$B,2,FALSE)</f>
        <v>10</v>
      </c>
      <c r="M64">
        <f t="shared" si="1"/>
        <v>0</v>
      </c>
      <c r="N64">
        <f t="shared" si="2"/>
        <v>0</v>
      </c>
      <c r="O64">
        <f t="shared" si="3"/>
        <v>0</v>
      </c>
      <c r="P64">
        <f t="shared" si="4"/>
        <v>0</v>
      </c>
      <c r="Q64">
        <f t="shared" si="5"/>
        <v>0</v>
      </c>
      <c r="R64">
        <f t="shared" si="6"/>
        <v>1</v>
      </c>
      <c r="S64">
        <f t="shared" si="7"/>
        <v>0</v>
      </c>
      <c r="T64">
        <f t="shared" si="8"/>
        <v>0</v>
      </c>
      <c r="U64">
        <f t="shared" si="9"/>
        <v>0</v>
      </c>
      <c r="V64">
        <f t="shared" si="10"/>
        <v>0</v>
      </c>
      <c r="W64">
        <f t="shared" si="11"/>
        <v>1</v>
      </c>
      <c r="X64">
        <f t="shared" si="12"/>
        <v>0</v>
      </c>
      <c r="Y64">
        <f t="shared" si="13"/>
        <v>0</v>
      </c>
      <c r="Z64">
        <f t="shared" si="14"/>
        <v>1</v>
      </c>
      <c r="AA64">
        <v>1</v>
      </c>
      <c r="AB64">
        <f>VLOOKUP(F64,[1]pff_ppr_projections!$B:$D,3,FALSE)</f>
        <v>205.1</v>
      </c>
      <c r="AC64">
        <f>VLOOKUP(F64,[2]numberFire_ppr_projections!$A:$B,2,FALSE)</f>
        <v>171.9</v>
      </c>
      <c r="AD64">
        <f>VLOOKUP(F64,[3]rotoballer_ppr_projections!$B:$G,6,FALSE)</f>
        <v>222</v>
      </c>
      <c r="AE64">
        <f>VLOOKUP(F64,[4]ppr!$B:$E,4,FALSE)</f>
        <v>185.02484543466281</v>
      </c>
      <c r="AF64">
        <f>VLOOKUP(F64,[4]half_ppr!$B:$E,4,FALSE)</f>
        <v>172.42500938586281</v>
      </c>
      <c r="AG64">
        <f>VLOOKUP(F64,[4]std!$B:$E,4,FALSE)</f>
        <v>159.82517333706281</v>
      </c>
      <c r="AH64">
        <f>IFERROR(VLOOKUP(F64,[5]actual_week11_ppr_stats!$A:$B,2,FALSE),0)</f>
        <v>98.9</v>
      </c>
    </row>
    <row r="65" spans="1:34" x14ac:dyDescent="0.2">
      <c r="A65">
        <v>64</v>
      </c>
      <c r="B65">
        <v>17964</v>
      </c>
      <c r="C65" t="s">
        <v>101</v>
      </c>
      <c r="D65" t="str" cm="1">
        <f t="array" ref="D65:E65">_xlfn.TEXTSPLIT(C65, ", ")</f>
        <v>Jeudy</v>
      </c>
      <c r="E65" t="str">
        <v>Jerry</v>
      </c>
      <c r="F65" t="str">
        <f t="shared" si="0"/>
        <v>Jerry Jeudy</v>
      </c>
      <c r="G65" t="s">
        <v>102</v>
      </c>
      <c r="H65" t="s">
        <v>9</v>
      </c>
      <c r="I65">
        <v>63.83</v>
      </c>
      <c r="J65">
        <v>51</v>
      </c>
      <c r="K65">
        <v>77</v>
      </c>
      <c r="L65">
        <f>VLOOKUP(G65,byes!$A:$B,2,FALSE)</f>
        <v>9</v>
      </c>
      <c r="M65">
        <f t="shared" si="1"/>
        <v>0</v>
      </c>
      <c r="N65">
        <f t="shared" si="2"/>
        <v>0</v>
      </c>
      <c r="O65">
        <f t="shared" si="3"/>
        <v>0</v>
      </c>
      <c r="P65">
        <f t="shared" si="4"/>
        <v>0</v>
      </c>
      <c r="Q65">
        <f t="shared" si="5"/>
        <v>1</v>
      </c>
      <c r="R65">
        <f t="shared" si="6"/>
        <v>0</v>
      </c>
      <c r="S65">
        <f t="shared" si="7"/>
        <v>0</v>
      </c>
      <c r="T65">
        <f t="shared" si="8"/>
        <v>0</v>
      </c>
      <c r="U65">
        <f t="shared" si="9"/>
        <v>0</v>
      </c>
      <c r="V65">
        <f t="shared" si="10"/>
        <v>0</v>
      </c>
      <c r="W65">
        <f t="shared" si="11"/>
        <v>0</v>
      </c>
      <c r="X65">
        <f t="shared" si="12"/>
        <v>1</v>
      </c>
      <c r="Y65">
        <f t="shared" si="13"/>
        <v>0</v>
      </c>
      <c r="Z65">
        <f t="shared" si="14"/>
        <v>1</v>
      </c>
      <c r="AA65">
        <f t="shared" si="15"/>
        <v>1</v>
      </c>
      <c r="AB65">
        <f>VLOOKUP(F65,[1]pff_ppr_projections!$B:$D,3,FALSE)</f>
        <v>195.2</v>
      </c>
      <c r="AC65">
        <f>VLOOKUP(F65,[2]numberFire_ppr_projections!$A:$B,2,FALSE)</f>
        <v>210.3</v>
      </c>
      <c r="AD65">
        <f>VLOOKUP(F65,[3]rotoballer_ppr_projections!$B:$G,6,FALSE)</f>
        <v>217</v>
      </c>
      <c r="AE65">
        <f>VLOOKUP(F65,[4]ppr!$B:$E,4,FALSE)</f>
        <v>219.07627489439994</v>
      </c>
      <c r="AF65">
        <f>VLOOKUP(F65,[4]half_ppr!$B:$E,4,FALSE)</f>
        <v>179.04040594439999</v>
      </c>
      <c r="AG65">
        <f>VLOOKUP(F65,[4]std!$B:$E,4,FALSE)</f>
        <v>139.00453699439998</v>
      </c>
      <c r="AH65">
        <f>IFERROR(VLOOKUP(F65,[5]actual_week11_ppr_stats!$A:$B,2,FALSE),0)</f>
        <v>72.599999999999994</v>
      </c>
    </row>
    <row r="66" spans="1:34" x14ac:dyDescent="0.2">
      <c r="A66">
        <v>65</v>
      </c>
      <c r="B66">
        <v>20287</v>
      </c>
      <c r="C66" t="s">
        <v>103</v>
      </c>
      <c r="D66" t="str" cm="1">
        <f t="array" ref="D66:E66">_xlfn.TEXTSPLIT(C66, ", ")</f>
        <v>Rice</v>
      </c>
      <c r="E66" t="str">
        <v>Rashee</v>
      </c>
      <c r="F66" t="str">
        <f t="shared" si="0"/>
        <v>Rashee Rice</v>
      </c>
      <c r="G66" t="s">
        <v>75</v>
      </c>
      <c r="H66" t="s">
        <v>9</v>
      </c>
      <c r="I66">
        <v>64.150000000000006</v>
      </c>
      <c r="J66">
        <v>50</v>
      </c>
      <c r="K66">
        <v>84</v>
      </c>
      <c r="L66">
        <f>VLOOKUP(G66,byes!$A:$B,2,FALSE)</f>
        <v>10</v>
      </c>
      <c r="M66">
        <f t="shared" si="1"/>
        <v>0</v>
      </c>
      <c r="N66">
        <f t="shared" si="2"/>
        <v>0</v>
      </c>
      <c r="O66">
        <f t="shared" si="3"/>
        <v>0</v>
      </c>
      <c r="P66">
        <f t="shared" si="4"/>
        <v>0</v>
      </c>
      <c r="Q66">
        <f t="shared" si="5"/>
        <v>0</v>
      </c>
      <c r="R66">
        <f t="shared" si="6"/>
        <v>1</v>
      </c>
      <c r="S66">
        <f t="shared" si="7"/>
        <v>0</v>
      </c>
      <c r="T66">
        <f t="shared" si="8"/>
        <v>0</v>
      </c>
      <c r="U66">
        <f t="shared" si="9"/>
        <v>0</v>
      </c>
      <c r="V66">
        <f t="shared" si="10"/>
        <v>0</v>
      </c>
      <c r="W66">
        <f t="shared" si="11"/>
        <v>0</v>
      </c>
      <c r="X66">
        <f t="shared" si="12"/>
        <v>1</v>
      </c>
      <c r="Y66">
        <f t="shared" si="13"/>
        <v>0</v>
      </c>
      <c r="Z66">
        <f t="shared" si="14"/>
        <v>1</v>
      </c>
      <c r="AA66">
        <v>1</v>
      </c>
      <c r="AB66">
        <f>VLOOKUP(F66,[1]pff_ppr_projections!$B:$D,3,FALSE)</f>
        <v>227.5</v>
      </c>
      <c r="AC66">
        <f>VLOOKUP(F66,[2]numberFire_ppr_projections!$A:$B,2,FALSE)</f>
        <v>171.7</v>
      </c>
      <c r="AD66">
        <f>VLOOKUP(F66,[3]rotoballer_ppr_projections!$B:$G,6,FALSE)</f>
        <v>181</v>
      </c>
      <c r="AE66">
        <f>VLOOKUP(F66,[4]ppr!$B:$E,4,FALSE)</f>
        <v>173.57576300700177</v>
      </c>
      <c r="AF66">
        <f>VLOOKUP(F66,[4]half_ppr!$B:$E,4,FALSE)</f>
        <v>142.69580269125174</v>
      </c>
      <c r="AG66">
        <f>VLOOKUP(F66,[4]std!$B:$E,4,FALSE)</f>
        <v>111.81584237550175</v>
      </c>
      <c r="AH66">
        <f>IFERROR(VLOOKUP(F66,[5]actual_week11_ppr_stats!$A:$B,2,FALSE),0)</f>
        <v>77.099999999999994</v>
      </c>
    </row>
    <row r="67" spans="1:34" x14ac:dyDescent="0.2">
      <c r="A67">
        <v>66</v>
      </c>
      <c r="B67">
        <v>22058</v>
      </c>
      <c r="C67" t="s">
        <v>104</v>
      </c>
      <c r="D67" t="str" cm="1">
        <f t="array" ref="D67:E67">_xlfn.TEXTSPLIT(C67, ", ")</f>
        <v>Hunter</v>
      </c>
      <c r="E67" t="str">
        <v>Travis</v>
      </c>
      <c r="F67" t="str">
        <f t="shared" ref="F67:F130" si="16">_xlfn.REGEXREPLACE(E67 &amp; " " &amp; D67, "\.", "")</f>
        <v>Travis Hunter</v>
      </c>
      <c r="G67" t="s">
        <v>26</v>
      </c>
      <c r="H67" t="s">
        <v>9</v>
      </c>
      <c r="I67">
        <v>65.400000000000006</v>
      </c>
      <c r="J67">
        <v>50</v>
      </c>
      <c r="K67">
        <v>83</v>
      </c>
      <c r="L67">
        <f>VLOOKUP(G67,byes!$A:$B,2,FALSE)</f>
        <v>8</v>
      </c>
      <c r="M67">
        <f t="shared" ref="M67:M130" si="17">IF(L67=5,1,0)</f>
        <v>0</v>
      </c>
      <c r="N67">
        <f t="shared" ref="N67:N130" si="18">IF(L67=6,1,0)</f>
        <v>0</v>
      </c>
      <c r="O67">
        <f t="shared" ref="O67:O130" si="19">IF(L67=7,1,0)</f>
        <v>0</v>
      </c>
      <c r="P67">
        <f t="shared" ref="P67:P130" si="20">IF(L67=8,1,0)</f>
        <v>1</v>
      </c>
      <c r="Q67">
        <f t="shared" ref="Q67:Q130" si="21">IF(L67=9,1,0)</f>
        <v>0</v>
      </c>
      <c r="R67">
        <f t="shared" ref="R67:R130" si="22">IF(L67=10,1,0)</f>
        <v>0</v>
      </c>
      <c r="S67">
        <f t="shared" ref="S67:S130" si="23">IF(L67=11,1,0)</f>
        <v>0</v>
      </c>
      <c r="T67">
        <f t="shared" ref="T67:T130" si="24">IF(L67=12,1,0)</f>
        <v>0</v>
      </c>
      <c r="U67">
        <f t="shared" ref="U67:U130" si="25">IF(L67=14,1,0)</f>
        <v>0</v>
      </c>
      <c r="V67">
        <f t="shared" ref="V67:V130" si="26">IF(H67="QB", 1, 0)</f>
        <v>0</v>
      </c>
      <c r="W67">
        <f t="shared" ref="W67:W130" si="27">IF(H67="RB",1,0)</f>
        <v>0</v>
      </c>
      <c r="X67">
        <f t="shared" ref="X67:X130" si="28">IF(H67="WR",1,0)</f>
        <v>1</v>
      </c>
      <c r="Y67">
        <f t="shared" ref="Y67:Y130" si="29">IF(H67="TE",1,0)</f>
        <v>0</v>
      </c>
      <c r="Z67">
        <f t="shared" ref="Z67:Z130" si="30">IF(OR(H67="RB",H67="WR",H67="TE"),1,0)</f>
        <v>1</v>
      </c>
      <c r="AA67">
        <v>1</v>
      </c>
      <c r="AB67">
        <f>VLOOKUP(F67,[1]pff_ppr_projections!$B:$D,3,FALSE)</f>
        <v>215.5</v>
      </c>
      <c r="AC67">
        <f>VLOOKUP(F67,[2]numberFire_ppr_projections!$A:$B,2,FALSE)</f>
        <v>184.6</v>
      </c>
      <c r="AD67" s="1">
        <f>AVERAGE(AB67,AC67,AE67)</f>
        <v>202.70619784938333</v>
      </c>
      <c r="AE67">
        <f>VLOOKUP(F67,[4]ppr!$B:$E,4,FALSE)</f>
        <v>208.01859354814994</v>
      </c>
      <c r="AF67">
        <f>VLOOKUP(F67,[4]half_ppr!$B:$E,4,FALSE)</f>
        <v>170.03126821064996</v>
      </c>
      <c r="AG67">
        <f>VLOOKUP(F67,[4]std!$B:$E,4,FALSE)</f>
        <v>132.04394287314994</v>
      </c>
      <c r="AH67">
        <f>IFERROR(VLOOKUP(F67,[5]actual_week11_ppr_stats!$A:$B,2,FALSE),0)</f>
        <v>63.8</v>
      </c>
    </row>
    <row r="68" spans="1:34" x14ac:dyDescent="0.2">
      <c r="A68">
        <v>67</v>
      </c>
      <c r="B68">
        <v>20335</v>
      </c>
      <c r="C68" t="s">
        <v>105</v>
      </c>
      <c r="D68" t="str" cm="1">
        <f t="array" ref="D68:E68">_xlfn.TEXTSPLIT(C68, ", ")</f>
        <v>Odunze</v>
      </c>
      <c r="E68" t="str">
        <v>Rome</v>
      </c>
      <c r="F68" t="str">
        <f t="shared" si="16"/>
        <v>Rome Odunze</v>
      </c>
      <c r="G68" t="s">
        <v>86</v>
      </c>
      <c r="H68" t="s">
        <v>9</v>
      </c>
      <c r="I68">
        <v>65.709999999999994</v>
      </c>
      <c r="J68">
        <v>53</v>
      </c>
      <c r="K68">
        <v>81</v>
      </c>
      <c r="L68">
        <f>VLOOKUP(G68,byes!$A:$B,2,FALSE)</f>
        <v>5</v>
      </c>
      <c r="M68">
        <f t="shared" si="17"/>
        <v>1</v>
      </c>
      <c r="N68">
        <f t="shared" si="18"/>
        <v>0</v>
      </c>
      <c r="O68">
        <f t="shared" si="19"/>
        <v>0</v>
      </c>
      <c r="P68">
        <f t="shared" si="20"/>
        <v>0</v>
      </c>
      <c r="Q68">
        <f t="shared" si="21"/>
        <v>0</v>
      </c>
      <c r="R68">
        <f t="shared" si="22"/>
        <v>0</v>
      </c>
      <c r="S68">
        <f t="shared" si="23"/>
        <v>0</v>
      </c>
      <c r="T68">
        <f t="shared" si="24"/>
        <v>0</v>
      </c>
      <c r="U68">
        <f t="shared" si="25"/>
        <v>0</v>
      </c>
      <c r="V68">
        <f t="shared" si="26"/>
        <v>0</v>
      </c>
      <c r="W68">
        <f t="shared" si="27"/>
        <v>0</v>
      </c>
      <c r="X68">
        <f t="shared" si="28"/>
        <v>1</v>
      </c>
      <c r="Y68">
        <f t="shared" si="29"/>
        <v>0</v>
      </c>
      <c r="Z68">
        <f t="shared" si="30"/>
        <v>1</v>
      </c>
      <c r="AA68">
        <v>1</v>
      </c>
      <c r="AB68">
        <f>VLOOKUP(F68,[1]pff_ppr_projections!$B:$D,3,FALSE)</f>
        <v>188.8</v>
      </c>
      <c r="AC68">
        <f>VLOOKUP(F68,[2]numberFire_ppr_projections!$A:$B,2,FALSE)</f>
        <v>170.1</v>
      </c>
      <c r="AD68">
        <f>VLOOKUP(F68,[3]rotoballer_ppr_projections!$B:$G,6,FALSE)</f>
        <v>195</v>
      </c>
      <c r="AE68">
        <f>VLOOKUP(F68,[4]ppr!$B:$E,4,FALSE)</f>
        <v>222.62876271417599</v>
      </c>
      <c r="AF68">
        <f>VLOOKUP(F68,[4]half_ppr!$B:$E,4,FALSE)</f>
        <v>182.75971495017598</v>
      </c>
      <c r="AG68">
        <f>VLOOKUP(F68,[4]std!$B:$E,4,FALSE)</f>
        <v>142.89066718617599</v>
      </c>
      <c r="AH68">
        <f>IFERROR(VLOOKUP(F68,[5]actual_week11_ppr_stats!$A:$B,2,FALSE),0)</f>
        <v>135</v>
      </c>
    </row>
    <row r="69" spans="1:34" x14ac:dyDescent="0.2">
      <c r="A69">
        <v>68</v>
      </c>
      <c r="B69">
        <v>19486</v>
      </c>
      <c r="C69" t="s">
        <v>106</v>
      </c>
      <c r="D69" t="str" cm="1">
        <f t="array" ref="D69:E69">_xlfn.TEXTSPLIT(C69, ", ")</f>
        <v>Pacheco</v>
      </c>
      <c r="E69" t="str">
        <v>Isiah</v>
      </c>
      <c r="F69" t="str">
        <f t="shared" si="16"/>
        <v>Isiah Pacheco</v>
      </c>
      <c r="G69" t="s">
        <v>75</v>
      </c>
      <c r="H69" t="s">
        <v>12</v>
      </c>
      <c r="I69">
        <v>67.11</v>
      </c>
      <c r="J69">
        <v>50</v>
      </c>
      <c r="K69">
        <v>81</v>
      </c>
      <c r="L69">
        <f>VLOOKUP(G69,byes!$A:$B,2,FALSE)</f>
        <v>10</v>
      </c>
      <c r="M69">
        <f t="shared" si="17"/>
        <v>0</v>
      </c>
      <c r="N69">
        <f t="shared" si="18"/>
        <v>0</v>
      </c>
      <c r="O69">
        <f t="shared" si="19"/>
        <v>0</v>
      </c>
      <c r="P69">
        <f t="shared" si="20"/>
        <v>0</v>
      </c>
      <c r="Q69">
        <f t="shared" si="21"/>
        <v>0</v>
      </c>
      <c r="R69">
        <f t="shared" si="22"/>
        <v>1</v>
      </c>
      <c r="S69">
        <f t="shared" si="23"/>
        <v>0</v>
      </c>
      <c r="T69">
        <f t="shared" si="24"/>
        <v>0</v>
      </c>
      <c r="U69">
        <f t="shared" si="25"/>
        <v>0</v>
      </c>
      <c r="V69">
        <f t="shared" si="26"/>
        <v>0</v>
      </c>
      <c r="W69">
        <f t="shared" si="27"/>
        <v>1</v>
      </c>
      <c r="X69">
        <f t="shared" si="28"/>
        <v>0</v>
      </c>
      <c r="Y69">
        <f t="shared" si="29"/>
        <v>0</v>
      </c>
      <c r="Z69">
        <f t="shared" si="30"/>
        <v>1</v>
      </c>
      <c r="AA69">
        <f t="shared" ref="AA69:AA129" si="31">IF(OR(H69="RB",H69="WR",H69="TE", H69="QB"),1,0)</f>
        <v>1</v>
      </c>
      <c r="AB69">
        <f>VLOOKUP(F69,[1]pff_ppr_projections!$B:$D,3,FALSE)</f>
        <v>188.2</v>
      </c>
      <c r="AC69">
        <f>VLOOKUP(F69,[2]numberFire_ppr_projections!$A:$B,2,FALSE)</f>
        <v>198.2</v>
      </c>
      <c r="AD69">
        <f>VLOOKUP(F69,[3]rotoballer_ppr_projections!$B:$G,6,FALSE)</f>
        <v>185</v>
      </c>
      <c r="AE69">
        <f>VLOOKUP(F69,[4]ppr!$B:$E,4,FALSE)</f>
        <v>202.78341767092499</v>
      </c>
      <c r="AF69">
        <f>VLOOKUP(F69,[4]half_ppr!$B:$E,4,FALSE)</f>
        <v>193.76157840217499</v>
      </c>
      <c r="AG69">
        <f>VLOOKUP(F69,[4]std!$B:$E,4,FALSE)</f>
        <v>184.73973913342499</v>
      </c>
      <c r="AH69">
        <f>IFERROR(VLOOKUP(F69,[5]actual_week11_ppr_stats!$A:$B,2,FALSE),0)</f>
        <v>60.2</v>
      </c>
    </row>
    <row r="70" spans="1:34" x14ac:dyDescent="0.2">
      <c r="A70">
        <v>69</v>
      </c>
      <c r="B70">
        <v>22085</v>
      </c>
      <c r="C70" t="s">
        <v>107</v>
      </c>
      <c r="D70" t="str" cm="1">
        <f t="array" ref="D70:E70">_xlfn.TEXTSPLIT(C70, ", ")</f>
        <v>Golden</v>
      </c>
      <c r="E70" t="str">
        <v>Matthew</v>
      </c>
      <c r="F70" t="str">
        <f t="shared" si="16"/>
        <v>Matthew Golden</v>
      </c>
      <c r="G70" t="s">
        <v>40</v>
      </c>
      <c r="H70" t="s">
        <v>9</v>
      </c>
      <c r="I70">
        <v>70.62</v>
      </c>
      <c r="J70">
        <v>51</v>
      </c>
      <c r="K70">
        <v>84</v>
      </c>
      <c r="L70">
        <f>VLOOKUP(G70,byes!$A:$B,2,FALSE)</f>
        <v>5</v>
      </c>
      <c r="M70">
        <f t="shared" si="17"/>
        <v>1</v>
      </c>
      <c r="N70">
        <f t="shared" si="18"/>
        <v>0</v>
      </c>
      <c r="O70">
        <f t="shared" si="19"/>
        <v>0</v>
      </c>
      <c r="P70">
        <f t="shared" si="20"/>
        <v>0</v>
      </c>
      <c r="Q70">
        <f t="shared" si="21"/>
        <v>0</v>
      </c>
      <c r="R70">
        <f t="shared" si="22"/>
        <v>0</v>
      </c>
      <c r="S70">
        <f t="shared" si="23"/>
        <v>0</v>
      </c>
      <c r="T70">
        <f t="shared" si="24"/>
        <v>0</v>
      </c>
      <c r="U70">
        <f t="shared" si="25"/>
        <v>0</v>
      </c>
      <c r="V70">
        <f t="shared" si="26"/>
        <v>0</v>
      </c>
      <c r="W70">
        <f t="shared" si="27"/>
        <v>0</v>
      </c>
      <c r="X70">
        <f t="shared" si="28"/>
        <v>1</v>
      </c>
      <c r="Y70">
        <f t="shared" si="29"/>
        <v>0</v>
      </c>
      <c r="Z70">
        <f t="shared" si="30"/>
        <v>1</v>
      </c>
      <c r="AA70">
        <v>1</v>
      </c>
      <c r="AB70">
        <f>VLOOKUP(F70,[1]pff_ppr_projections!$B:$D,3,FALSE)</f>
        <v>180.2</v>
      </c>
      <c r="AC70">
        <f>VLOOKUP(F70,[2]numberFire_ppr_projections!$A:$B,2,FALSE)</f>
        <v>184.1</v>
      </c>
      <c r="AD70">
        <f>VLOOKUP(F70,[3]rotoballer_ppr_projections!$B:$G,6,FALSE)</f>
        <v>192</v>
      </c>
      <c r="AE70">
        <f>VLOOKUP(F70,[4]ppr!$B:$E,4,FALSE)</f>
        <v>205.04700032651525</v>
      </c>
      <c r="AF70">
        <f>VLOOKUP(F70,[4]half_ppr!$B:$E,4,FALSE)</f>
        <v>171.40968400971522</v>
      </c>
      <c r="AG70">
        <f>VLOOKUP(F70,[4]std!$B:$E,4,FALSE)</f>
        <v>137.77236769291522</v>
      </c>
      <c r="AH70">
        <f>IFERROR(VLOOKUP(F70,[5]actual_week11_ppr_stats!$A:$B,2,FALSE),0)</f>
        <v>57.1</v>
      </c>
    </row>
    <row r="71" spans="1:34" x14ac:dyDescent="0.2">
      <c r="A71">
        <v>70</v>
      </c>
      <c r="B71">
        <v>19432</v>
      </c>
      <c r="C71" t="s">
        <v>108</v>
      </c>
      <c r="D71" t="str" cm="1">
        <f t="array" ref="D71:E71">_xlfn.TEXTSPLIT(C71, ", ")</f>
        <v>Olave</v>
      </c>
      <c r="E71" t="str">
        <v>Chris</v>
      </c>
      <c r="F71" t="str">
        <f t="shared" si="16"/>
        <v>Chris Olave</v>
      </c>
      <c r="G71" t="s">
        <v>84</v>
      </c>
      <c r="H71" t="s">
        <v>9</v>
      </c>
      <c r="I71">
        <v>70.959999999999994</v>
      </c>
      <c r="J71">
        <v>57</v>
      </c>
      <c r="K71">
        <v>85</v>
      </c>
      <c r="L71">
        <f>VLOOKUP(G71,byes!$A:$B,2,FALSE)</f>
        <v>11</v>
      </c>
      <c r="M71">
        <f t="shared" si="17"/>
        <v>0</v>
      </c>
      <c r="N71">
        <f t="shared" si="18"/>
        <v>0</v>
      </c>
      <c r="O71">
        <f t="shared" si="19"/>
        <v>0</v>
      </c>
      <c r="P71">
        <f t="shared" si="20"/>
        <v>0</v>
      </c>
      <c r="Q71">
        <f t="shared" si="21"/>
        <v>0</v>
      </c>
      <c r="R71">
        <f t="shared" si="22"/>
        <v>0</v>
      </c>
      <c r="S71">
        <f t="shared" si="23"/>
        <v>1</v>
      </c>
      <c r="T71">
        <f t="shared" si="24"/>
        <v>0</v>
      </c>
      <c r="U71">
        <f t="shared" si="25"/>
        <v>0</v>
      </c>
      <c r="V71">
        <f t="shared" si="26"/>
        <v>0</v>
      </c>
      <c r="W71">
        <f t="shared" si="27"/>
        <v>0</v>
      </c>
      <c r="X71">
        <f t="shared" si="28"/>
        <v>1</v>
      </c>
      <c r="Y71">
        <f t="shared" si="29"/>
        <v>0</v>
      </c>
      <c r="Z71">
        <f t="shared" si="30"/>
        <v>1</v>
      </c>
      <c r="AA71">
        <v>1</v>
      </c>
      <c r="AB71">
        <f>VLOOKUP(F71,[1]pff_ppr_projections!$B:$D,3,FALSE)</f>
        <v>195.8</v>
      </c>
      <c r="AC71">
        <f>VLOOKUP(F71,[2]numberFire_ppr_projections!$A:$B,2,FALSE)</f>
        <v>203.7</v>
      </c>
      <c r="AD71">
        <f>VLOOKUP(F71,[3]rotoballer_ppr_projections!$B:$G,6,FALSE)</f>
        <v>201</v>
      </c>
      <c r="AE71">
        <f>VLOOKUP(F71,[4]ppr!$B:$E,4,FALSE)</f>
        <v>204.477970913685</v>
      </c>
      <c r="AF71">
        <f>VLOOKUP(F71,[4]half_ppr!$B:$E,4,FALSE)</f>
        <v>165.018694396185</v>
      </c>
      <c r="AG71">
        <f>VLOOKUP(F71,[4]std!$B:$E,4,FALSE)</f>
        <v>125.559417878685</v>
      </c>
      <c r="AH71">
        <f>IFERROR(VLOOKUP(F71,[5]actual_week11_ppr_stats!$A:$B,2,FALSE),0)</f>
        <v>150.1</v>
      </c>
    </row>
    <row r="72" spans="1:34" x14ac:dyDescent="0.2">
      <c r="A72">
        <v>71</v>
      </c>
      <c r="B72">
        <v>17016</v>
      </c>
      <c r="C72" t="s">
        <v>109</v>
      </c>
      <c r="D72" t="str" cm="1">
        <f t="array" ref="D72:E72">_xlfn.TEXTSPLIT(C72, ", ")</f>
        <v>Montgomery</v>
      </c>
      <c r="E72" t="str">
        <v>David</v>
      </c>
      <c r="F72" t="str">
        <f t="shared" si="16"/>
        <v>David Montgomery</v>
      </c>
      <c r="G72" t="s">
        <v>14</v>
      </c>
      <c r="H72" t="s">
        <v>12</v>
      </c>
      <c r="I72">
        <v>73.25</v>
      </c>
      <c r="J72">
        <v>51</v>
      </c>
      <c r="K72">
        <v>85</v>
      </c>
      <c r="L72">
        <f>VLOOKUP(G72,byes!$A:$B,2,FALSE)</f>
        <v>8</v>
      </c>
      <c r="M72">
        <f t="shared" si="17"/>
        <v>0</v>
      </c>
      <c r="N72">
        <f t="shared" si="18"/>
        <v>0</v>
      </c>
      <c r="O72">
        <f t="shared" si="19"/>
        <v>0</v>
      </c>
      <c r="P72">
        <f t="shared" si="20"/>
        <v>1</v>
      </c>
      <c r="Q72">
        <f t="shared" si="21"/>
        <v>0</v>
      </c>
      <c r="R72">
        <f t="shared" si="22"/>
        <v>0</v>
      </c>
      <c r="S72">
        <f t="shared" si="23"/>
        <v>0</v>
      </c>
      <c r="T72">
        <f t="shared" si="24"/>
        <v>0</v>
      </c>
      <c r="U72">
        <f t="shared" si="25"/>
        <v>0</v>
      </c>
      <c r="V72">
        <f t="shared" si="26"/>
        <v>0</v>
      </c>
      <c r="W72">
        <f t="shared" si="27"/>
        <v>1</v>
      </c>
      <c r="X72">
        <f t="shared" si="28"/>
        <v>0</v>
      </c>
      <c r="Y72">
        <f t="shared" si="29"/>
        <v>0</v>
      </c>
      <c r="Z72">
        <f t="shared" si="30"/>
        <v>1</v>
      </c>
      <c r="AA72">
        <v>1</v>
      </c>
      <c r="AB72">
        <f>VLOOKUP(F72,[1]pff_ppr_projections!$B:$D,3,FALSE)</f>
        <v>187.1</v>
      </c>
      <c r="AC72">
        <f>VLOOKUP(F72,[2]numberFire_ppr_projections!$A:$B,2,FALSE)</f>
        <v>175.3</v>
      </c>
      <c r="AD72">
        <f>VLOOKUP(F72,[3]rotoballer_ppr_projections!$B:$G,6,FALSE)</f>
        <v>209</v>
      </c>
      <c r="AE72">
        <f>VLOOKUP(F72,[4]ppr!$B:$E,4,FALSE)</f>
        <v>171.79609632165023</v>
      </c>
      <c r="AF72">
        <f>VLOOKUP(F72,[4]half_ppr!$B:$E,4,FALSE)</f>
        <v>164.5430571100502</v>
      </c>
      <c r="AG72">
        <f>VLOOKUP(F72,[4]std!$B:$E,4,FALSE)</f>
        <v>157.29001789845023</v>
      </c>
      <c r="AH72">
        <f>IFERROR(VLOOKUP(F72,[5]actual_week11_ppr_stats!$A:$B,2,FALSE),0)</f>
        <v>105.9</v>
      </c>
    </row>
    <row r="73" spans="1:34" x14ac:dyDescent="0.2">
      <c r="A73">
        <v>72</v>
      </c>
      <c r="B73">
        <v>15234</v>
      </c>
      <c r="C73" t="s">
        <v>110</v>
      </c>
      <c r="D73" t="str" cm="1">
        <f t="array" ref="D73:E73">_xlfn.TEXTSPLIT(C73, ", ")</f>
        <v>Mahomes</v>
      </c>
      <c r="E73" t="str">
        <v>Patrick</v>
      </c>
      <c r="F73" t="str">
        <f t="shared" si="16"/>
        <v>Patrick Mahomes</v>
      </c>
      <c r="G73" t="s">
        <v>75</v>
      </c>
      <c r="H73" t="s">
        <v>57</v>
      </c>
      <c r="I73">
        <v>74.400000000000006</v>
      </c>
      <c r="J73">
        <v>41</v>
      </c>
      <c r="K73">
        <v>108</v>
      </c>
      <c r="L73">
        <f>VLOOKUP(G73,byes!$A:$B,2,FALSE)</f>
        <v>10</v>
      </c>
      <c r="M73">
        <f t="shared" si="17"/>
        <v>0</v>
      </c>
      <c r="N73">
        <f t="shared" si="18"/>
        <v>0</v>
      </c>
      <c r="O73">
        <f t="shared" si="19"/>
        <v>0</v>
      </c>
      <c r="P73">
        <f t="shared" si="20"/>
        <v>0</v>
      </c>
      <c r="Q73">
        <f t="shared" si="21"/>
        <v>0</v>
      </c>
      <c r="R73">
        <f t="shared" si="22"/>
        <v>1</v>
      </c>
      <c r="S73">
        <f t="shared" si="23"/>
        <v>0</v>
      </c>
      <c r="T73">
        <f t="shared" si="24"/>
        <v>0</v>
      </c>
      <c r="U73">
        <f t="shared" si="25"/>
        <v>0</v>
      </c>
      <c r="V73">
        <f t="shared" si="26"/>
        <v>1</v>
      </c>
      <c r="W73">
        <f t="shared" si="27"/>
        <v>0</v>
      </c>
      <c r="X73">
        <f t="shared" si="28"/>
        <v>0</v>
      </c>
      <c r="Y73">
        <f t="shared" si="29"/>
        <v>0</v>
      </c>
      <c r="Z73">
        <f t="shared" si="30"/>
        <v>0</v>
      </c>
      <c r="AA73">
        <f t="shared" si="31"/>
        <v>1</v>
      </c>
      <c r="AB73">
        <f>VLOOKUP(F73,[1]pff_ppr_projections!$B:$D,3,FALSE)</f>
        <v>306.89999999999998</v>
      </c>
      <c r="AC73">
        <f>VLOOKUP(F73,[2]numberFire_ppr_projections!$A:$B,2,FALSE)</f>
        <v>336.1</v>
      </c>
      <c r="AD73">
        <f>VLOOKUP(F73,[3]rotoballer_ppr_projections!$B:$G,6,FALSE)</f>
        <v>317</v>
      </c>
      <c r="AE73">
        <f>VLOOKUP(F73,[4]ppr!$B:$E,4,FALSE)</f>
        <v>322.17403798902967</v>
      </c>
      <c r="AF73">
        <f>VLOOKUP(F73,[4]half_ppr!$B:$E,4,FALSE)</f>
        <v>322.17403798902967</v>
      </c>
      <c r="AG73">
        <f>VLOOKUP(F73,[4]std!$B:$E,4,FALSE)</f>
        <v>322.17403798902967</v>
      </c>
      <c r="AH73">
        <f>IFERROR(VLOOKUP(F73,[5]actual_week11_ppr_stats!$A:$B,2,FALSE),0)</f>
        <v>223.8</v>
      </c>
    </row>
    <row r="74" spans="1:34" x14ac:dyDescent="0.2">
      <c r="A74">
        <v>73</v>
      </c>
      <c r="B74">
        <v>20339</v>
      </c>
      <c r="C74" t="s">
        <v>111</v>
      </c>
      <c r="D74" t="str" cm="1">
        <f t="array" ref="D74:E74">_xlfn.TEXTSPLIT(C74, ", ")</f>
        <v>LaPorta</v>
      </c>
      <c r="E74" t="str">
        <v>Sam</v>
      </c>
      <c r="F74" t="str">
        <f t="shared" si="16"/>
        <v>Sam LaPorta</v>
      </c>
      <c r="G74" t="s">
        <v>14</v>
      </c>
      <c r="H74" t="s">
        <v>47</v>
      </c>
      <c r="I74">
        <v>74.75</v>
      </c>
      <c r="J74">
        <v>55</v>
      </c>
      <c r="K74">
        <v>93</v>
      </c>
      <c r="L74">
        <f>VLOOKUP(G74,byes!$A:$B,2,FALSE)</f>
        <v>8</v>
      </c>
      <c r="M74">
        <f t="shared" si="17"/>
        <v>0</v>
      </c>
      <c r="N74">
        <f t="shared" si="18"/>
        <v>0</v>
      </c>
      <c r="O74">
        <f t="shared" si="19"/>
        <v>0</v>
      </c>
      <c r="P74">
        <f t="shared" si="20"/>
        <v>1</v>
      </c>
      <c r="Q74">
        <f t="shared" si="21"/>
        <v>0</v>
      </c>
      <c r="R74">
        <f t="shared" si="22"/>
        <v>0</v>
      </c>
      <c r="S74">
        <f t="shared" si="23"/>
        <v>0</v>
      </c>
      <c r="T74">
        <f t="shared" si="24"/>
        <v>0</v>
      </c>
      <c r="U74">
        <f t="shared" si="25"/>
        <v>0</v>
      </c>
      <c r="V74">
        <f t="shared" si="26"/>
        <v>0</v>
      </c>
      <c r="W74">
        <f t="shared" si="27"/>
        <v>0</v>
      </c>
      <c r="X74">
        <f t="shared" si="28"/>
        <v>0</v>
      </c>
      <c r="Y74">
        <f t="shared" si="29"/>
        <v>1</v>
      </c>
      <c r="Z74">
        <f t="shared" si="30"/>
        <v>1</v>
      </c>
      <c r="AA74">
        <v>1</v>
      </c>
      <c r="AB74">
        <f>VLOOKUP(F74,[1]pff_ppr_projections!$B:$D,3,FALSE)</f>
        <v>182.5</v>
      </c>
      <c r="AC74">
        <f>VLOOKUP(F74,[2]numberFire_ppr_projections!$A:$B,2,FALSE)</f>
        <v>174.1</v>
      </c>
      <c r="AD74">
        <f>VLOOKUP(F74,[3]rotoballer_ppr_projections!$B:$G,6,FALSE)</f>
        <v>181</v>
      </c>
      <c r="AE74">
        <f>VLOOKUP(F74,[4]ppr!$B:$E,4,FALSE)</f>
        <v>178.738593795165</v>
      </c>
      <c r="AF74">
        <f>VLOOKUP(F74,[4]half_ppr!$B:$E,4,FALSE)</f>
        <v>144.71883522236502</v>
      </c>
      <c r="AG74">
        <f>VLOOKUP(F74,[4]std!$B:$E,4,FALSE)</f>
        <v>110.69907664956501</v>
      </c>
      <c r="AH74">
        <f>IFERROR(VLOOKUP(F74,[5]actual_week11_ppr_stats!$A:$B,2,FALSE),0)</f>
        <v>106.9</v>
      </c>
    </row>
    <row r="75" spans="1:34" x14ac:dyDescent="0.2">
      <c r="A75">
        <v>74</v>
      </c>
      <c r="B75">
        <v>13671</v>
      </c>
      <c r="C75" t="s">
        <v>112</v>
      </c>
      <c r="D75" t="str" cm="1">
        <f t="array" ref="D75:E75">_xlfn.TEXTSPLIT(C75, ", ")</f>
        <v>Diggs</v>
      </c>
      <c r="E75" t="str">
        <v>Stefon</v>
      </c>
      <c r="F75" t="str">
        <f t="shared" si="16"/>
        <v>Stefon Diggs</v>
      </c>
      <c r="G75" t="s">
        <v>64</v>
      </c>
      <c r="H75" t="s">
        <v>9</v>
      </c>
      <c r="I75">
        <v>75.03</v>
      </c>
      <c r="J75">
        <v>48</v>
      </c>
      <c r="K75">
        <v>91</v>
      </c>
      <c r="L75">
        <f>VLOOKUP(G75,byes!$A:$B,2,FALSE)</f>
        <v>14</v>
      </c>
      <c r="M75">
        <f t="shared" si="17"/>
        <v>0</v>
      </c>
      <c r="N75">
        <f t="shared" si="18"/>
        <v>0</v>
      </c>
      <c r="O75">
        <f t="shared" si="19"/>
        <v>0</v>
      </c>
      <c r="P75">
        <f t="shared" si="20"/>
        <v>0</v>
      </c>
      <c r="Q75">
        <f t="shared" si="21"/>
        <v>0</v>
      </c>
      <c r="R75">
        <f t="shared" si="22"/>
        <v>0</v>
      </c>
      <c r="S75">
        <f t="shared" si="23"/>
        <v>0</v>
      </c>
      <c r="T75">
        <f t="shared" si="24"/>
        <v>0</v>
      </c>
      <c r="U75">
        <f t="shared" si="25"/>
        <v>1</v>
      </c>
      <c r="V75">
        <f t="shared" si="26"/>
        <v>0</v>
      </c>
      <c r="W75">
        <f t="shared" si="27"/>
        <v>0</v>
      </c>
      <c r="X75">
        <f t="shared" si="28"/>
        <v>1</v>
      </c>
      <c r="Y75">
        <f t="shared" si="29"/>
        <v>0</v>
      </c>
      <c r="Z75">
        <f t="shared" si="30"/>
        <v>1</v>
      </c>
      <c r="AA75">
        <v>1</v>
      </c>
      <c r="AB75">
        <f>VLOOKUP(F75,[1]pff_ppr_projections!$B:$D,3,FALSE)</f>
        <v>173.6</v>
      </c>
      <c r="AC75">
        <f>VLOOKUP(F75,[2]numberFire_ppr_projections!$A:$B,2,FALSE)</f>
        <v>207.4</v>
      </c>
      <c r="AD75">
        <f>VLOOKUP(F75,[3]rotoballer_ppr_projections!$B:$G,6,FALSE)</f>
        <v>199</v>
      </c>
      <c r="AE75">
        <f>VLOOKUP(F75,[4]ppr!$B:$E,4,FALSE)</f>
        <v>166.73429931992064</v>
      </c>
      <c r="AF75">
        <f>VLOOKUP(F75,[4]half_ppr!$B:$E,4,FALSE)</f>
        <v>134.86612284440065</v>
      </c>
      <c r="AG75">
        <f>VLOOKUP(F75,[4]std!$B:$E,4,FALSE)</f>
        <v>102.99794636888065</v>
      </c>
      <c r="AH75">
        <f>IFERROR(VLOOKUP(F75,[5]actual_week11_ppr_stats!$A:$B,2,FALSE),0)</f>
        <v>142.9</v>
      </c>
    </row>
    <row r="76" spans="1:34" x14ac:dyDescent="0.2">
      <c r="A76">
        <v>75</v>
      </c>
      <c r="B76">
        <v>17019</v>
      </c>
      <c r="C76" t="s">
        <v>113</v>
      </c>
      <c r="D76" t="str" cm="1">
        <f t="array" ref="D76:E76">_xlfn.TEXTSPLIT(C76, ", ")</f>
        <v>Samuel</v>
      </c>
      <c r="E76" t="str">
        <v>Deebo</v>
      </c>
      <c r="F76" t="str">
        <f t="shared" si="16"/>
        <v>Deebo Samuel</v>
      </c>
      <c r="G76" t="s">
        <v>71</v>
      </c>
      <c r="H76" t="s">
        <v>9</v>
      </c>
      <c r="I76">
        <v>75.28</v>
      </c>
      <c r="J76">
        <v>59</v>
      </c>
      <c r="K76">
        <v>99</v>
      </c>
      <c r="L76">
        <f>VLOOKUP(G76,byes!$A:$B,2,FALSE)</f>
        <v>12</v>
      </c>
      <c r="M76">
        <f t="shared" si="17"/>
        <v>0</v>
      </c>
      <c r="N76">
        <f t="shared" si="18"/>
        <v>0</v>
      </c>
      <c r="O76">
        <f t="shared" si="19"/>
        <v>0</v>
      </c>
      <c r="P76">
        <f t="shared" si="20"/>
        <v>0</v>
      </c>
      <c r="Q76">
        <f t="shared" si="21"/>
        <v>0</v>
      </c>
      <c r="R76">
        <f t="shared" si="22"/>
        <v>0</v>
      </c>
      <c r="S76">
        <f t="shared" si="23"/>
        <v>0</v>
      </c>
      <c r="T76">
        <f t="shared" si="24"/>
        <v>1</v>
      </c>
      <c r="U76">
        <f t="shared" si="25"/>
        <v>0</v>
      </c>
      <c r="V76">
        <f t="shared" si="26"/>
        <v>0</v>
      </c>
      <c r="W76">
        <f t="shared" si="27"/>
        <v>0</v>
      </c>
      <c r="X76">
        <f t="shared" si="28"/>
        <v>1</v>
      </c>
      <c r="Y76">
        <f t="shared" si="29"/>
        <v>0</v>
      </c>
      <c r="Z76">
        <f t="shared" si="30"/>
        <v>1</v>
      </c>
      <c r="AA76">
        <v>1</v>
      </c>
      <c r="AB76">
        <f>VLOOKUP(F76,[1]pff_ppr_projections!$B:$D,3,FALSE)</f>
        <v>198.4</v>
      </c>
      <c r="AC76">
        <f>VLOOKUP(F76,[2]numberFire_ppr_projections!$A:$B,2,FALSE)</f>
        <v>209.3</v>
      </c>
      <c r="AD76">
        <f>VLOOKUP(F76,[3]rotoballer_ppr_projections!$B:$G,6,FALSE)</f>
        <v>197</v>
      </c>
      <c r="AE76">
        <f>VLOOKUP(F76,[4]ppr!$B:$E,4,FALSE)</f>
        <v>188.65551493443439</v>
      </c>
      <c r="AF76">
        <f>VLOOKUP(F76,[4]half_ppr!$B:$E,4,FALSE)</f>
        <v>155.95888189323196</v>
      </c>
      <c r="AG76">
        <f>VLOOKUP(F76,[4]std!$B:$E,4,FALSE)</f>
        <v>123.26224885202956</v>
      </c>
      <c r="AH76">
        <f>IFERROR(VLOOKUP(F76,[5]actual_week11_ppr_stats!$A:$B,2,FALSE),0)</f>
        <v>141.19999999999999</v>
      </c>
    </row>
    <row r="77" spans="1:34" x14ac:dyDescent="0.2">
      <c r="A77">
        <v>76</v>
      </c>
      <c r="B77">
        <v>15392</v>
      </c>
      <c r="C77" t="s">
        <v>114</v>
      </c>
      <c r="D77" t="str" cm="1">
        <f t="array" ref="D77:E77">_xlfn.TEXTSPLIT(C77, ", ")</f>
        <v>Jones</v>
      </c>
      <c r="E77" t="str">
        <v>Aaron</v>
      </c>
      <c r="F77" t="str">
        <f t="shared" si="16"/>
        <v>Aaron Jones</v>
      </c>
      <c r="G77" t="s">
        <v>20</v>
      </c>
      <c r="H77" t="s">
        <v>12</v>
      </c>
      <c r="I77">
        <v>76.16</v>
      </c>
      <c r="J77">
        <v>59</v>
      </c>
      <c r="K77">
        <v>89</v>
      </c>
      <c r="L77">
        <f>VLOOKUP(G77,byes!$A:$B,2,FALSE)</f>
        <v>6</v>
      </c>
      <c r="M77">
        <f t="shared" si="17"/>
        <v>0</v>
      </c>
      <c r="N77">
        <f t="shared" si="18"/>
        <v>1</v>
      </c>
      <c r="O77">
        <f t="shared" si="19"/>
        <v>0</v>
      </c>
      <c r="P77">
        <f t="shared" si="20"/>
        <v>0</v>
      </c>
      <c r="Q77">
        <f t="shared" si="21"/>
        <v>0</v>
      </c>
      <c r="R77">
        <f t="shared" si="22"/>
        <v>0</v>
      </c>
      <c r="S77">
        <f t="shared" si="23"/>
        <v>0</v>
      </c>
      <c r="T77">
        <f t="shared" si="24"/>
        <v>0</v>
      </c>
      <c r="U77">
        <f t="shared" si="25"/>
        <v>0</v>
      </c>
      <c r="V77">
        <f t="shared" si="26"/>
        <v>0</v>
      </c>
      <c r="W77">
        <f t="shared" si="27"/>
        <v>1</v>
      </c>
      <c r="X77">
        <f t="shared" si="28"/>
        <v>0</v>
      </c>
      <c r="Y77">
        <f t="shared" si="29"/>
        <v>0</v>
      </c>
      <c r="Z77">
        <f t="shared" si="30"/>
        <v>1</v>
      </c>
      <c r="AA77">
        <f t="shared" si="31"/>
        <v>1</v>
      </c>
      <c r="AB77">
        <f>VLOOKUP(F77,[1]pff_ppr_projections!$B:$D,3,FALSE)</f>
        <v>205.8</v>
      </c>
      <c r="AC77">
        <f>VLOOKUP(F77,[2]numberFire_ppr_projections!$A:$B,2,FALSE)</f>
        <v>197.4</v>
      </c>
      <c r="AD77">
        <f>VLOOKUP(F77,[3]rotoballer_ppr_projections!$B:$G,6,FALSE)</f>
        <v>204</v>
      </c>
      <c r="AE77">
        <f>VLOOKUP(F77,[4]ppr!$B:$E,4,FALSE)</f>
        <v>203.59146286883032</v>
      </c>
      <c r="AF77">
        <f>VLOOKUP(F77,[4]half_ppr!$B:$E,4,FALSE)</f>
        <v>183.37112906243033</v>
      </c>
      <c r="AG77">
        <f>VLOOKUP(F77,[4]std!$B:$E,4,FALSE)</f>
        <v>163.15079525603034</v>
      </c>
      <c r="AH77">
        <f>IFERROR(VLOOKUP(F77,[5]actual_week11_ppr_stats!$A:$B,2,FALSE),0)</f>
        <v>61.8</v>
      </c>
    </row>
    <row r="78" spans="1:34" x14ac:dyDescent="0.2">
      <c r="A78">
        <v>77</v>
      </c>
      <c r="B78">
        <v>17061</v>
      </c>
      <c r="C78" t="s">
        <v>115</v>
      </c>
      <c r="D78" t="str" cm="1">
        <f t="array" ref="D78:E78">_xlfn.TEXTSPLIT(C78, ", ")</f>
        <v>Meyers</v>
      </c>
      <c r="E78" t="str">
        <v>Jakobi</v>
      </c>
      <c r="F78" t="str">
        <f t="shared" si="16"/>
        <v>Jakobi Meyers</v>
      </c>
      <c r="G78" t="s">
        <v>26</v>
      </c>
      <c r="H78" t="s">
        <v>9</v>
      </c>
      <c r="I78">
        <v>79</v>
      </c>
      <c r="J78">
        <v>57</v>
      </c>
      <c r="K78">
        <v>99</v>
      </c>
      <c r="L78">
        <f>VLOOKUP(G78,byes!$A:$B,2,FALSE)</f>
        <v>8</v>
      </c>
      <c r="M78">
        <f t="shared" si="17"/>
        <v>0</v>
      </c>
      <c r="N78">
        <f t="shared" si="18"/>
        <v>0</v>
      </c>
      <c r="O78">
        <f t="shared" si="19"/>
        <v>0</v>
      </c>
      <c r="P78">
        <f t="shared" si="20"/>
        <v>1</v>
      </c>
      <c r="Q78">
        <f t="shared" si="21"/>
        <v>0</v>
      </c>
      <c r="R78">
        <f t="shared" si="22"/>
        <v>0</v>
      </c>
      <c r="S78">
        <f t="shared" si="23"/>
        <v>0</v>
      </c>
      <c r="T78">
        <f t="shared" si="24"/>
        <v>0</v>
      </c>
      <c r="U78">
        <f t="shared" si="25"/>
        <v>0</v>
      </c>
      <c r="V78">
        <f t="shared" si="26"/>
        <v>0</v>
      </c>
      <c r="W78">
        <f t="shared" si="27"/>
        <v>0</v>
      </c>
      <c r="X78">
        <f t="shared" si="28"/>
        <v>1</v>
      </c>
      <c r="Y78">
        <f t="shared" si="29"/>
        <v>0</v>
      </c>
      <c r="Z78">
        <f t="shared" si="30"/>
        <v>1</v>
      </c>
      <c r="AA78">
        <v>1</v>
      </c>
      <c r="AB78">
        <f>VLOOKUP(F78,[1]pff_ppr_projections!$B:$D,3,FALSE)</f>
        <v>196.7</v>
      </c>
      <c r="AC78">
        <f>VLOOKUP(F78,[2]numberFire_ppr_projections!$A:$B,2,FALSE)</f>
        <v>207.6</v>
      </c>
      <c r="AD78">
        <f>VLOOKUP(F78,[3]rotoballer_ppr_projections!$B:$G,6,FALSE)</f>
        <v>196</v>
      </c>
      <c r="AE78">
        <f>VLOOKUP(F78,[4]ppr!$B:$E,4,FALSE)</f>
        <v>224.73998430549122</v>
      </c>
      <c r="AF78">
        <f>VLOOKUP(F78,[4]half_ppr!$B:$E,4,FALSE)</f>
        <v>181.16883573909121</v>
      </c>
      <c r="AG78">
        <f>VLOOKUP(F78,[4]std!$B:$E,4,FALSE)</f>
        <v>137.59768717269122</v>
      </c>
      <c r="AH78">
        <f>IFERROR(VLOOKUP(F78,[5]actual_week11_ppr_stats!$A:$B,2,FALSE),0)</f>
        <v>86.7</v>
      </c>
    </row>
    <row r="79" spans="1:34" x14ac:dyDescent="0.2">
      <c r="A79">
        <v>78</v>
      </c>
      <c r="B79">
        <v>20274</v>
      </c>
      <c r="C79" t="s">
        <v>116</v>
      </c>
      <c r="D79" t="str" cm="1">
        <f t="array" ref="D79:E79">_xlfn.TEXTSPLIT(C79, ", ")</f>
        <v>Addison</v>
      </c>
      <c r="E79" t="str">
        <v>Jordan</v>
      </c>
      <c r="F79" t="str">
        <f t="shared" si="16"/>
        <v>Jordan Addison</v>
      </c>
      <c r="G79" t="s">
        <v>20</v>
      </c>
      <c r="H79" t="s">
        <v>9</v>
      </c>
      <c r="I79">
        <v>80.849999999999994</v>
      </c>
      <c r="J79">
        <v>62</v>
      </c>
      <c r="K79">
        <v>100</v>
      </c>
      <c r="L79">
        <f>VLOOKUP(G79,byes!$A:$B,2,FALSE)</f>
        <v>6</v>
      </c>
      <c r="M79">
        <f t="shared" si="17"/>
        <v>0</v>
      </c>
      <c r="N79">
        <f t="shared" si="18"/>
        <v>1</v>
      </c>
      <c r="O79">
        <f t="shared" si="19"/>
        <v>0</v>
      </c>
      <c r="P79">
        <f t="shared" si="20"/>
        <v>0</v>
      </c>
      <c r="Q79">
        <f t="shared" si="21"/>
        <v>0</v>
      </c>
      <c r="R79">
        <f t="shared" si="22"/>
        <v>0</v>
      </c>
      <c r="S79">
        <f t="shared" si="23"/>
        <v>0</v>
      </c>
      <c r="T79">
        <f t="shared" si="24"/>
        <v>0</v>
      </c>
      <c r="U79">
        <f t="shared" si="25"/>
        <v>0</v>
      </c>
      <c r="V79">
        <f t="shared" si="26"/>
        <v>0</v>
      </c>
      <c r="W79">
        <f t="shared" si="27"/>
        <v>0</v>
      </c>
      <c r="X79">
        <f t="shared" si="28"/>
        <v>1</v>
      </c>
      <c r="Y79">
        <f t="shared" si="29"/>
        <v>0</v>
      </c>
      <c r="Z79">
        <f t="shared" si="30"/>
        <v>1</v>
      </c>
      <c r="AA79">
        <v>1</v>
      </c>
      <c r="AB79">
        <f>VLOOKUP(F79,[1]pff_ppr_projections!$B:$D,3,FALSE)</f>
        <v>196.9</v>
      </c>
      <c r="AC79">
        <f>VLOOKUP(F79,[2]numberFire_ppr_projections!$A:$B,2,FALSE)</f>
        <v>142.4</v>
      </c>
      <c r="AD79">
        <f>VLOOKUP(F79,[3]rotoballer_ppr_projections!$B:$G,6,FALSE)</f>
        <v>171</v>
      </c>
      <c r="AE79">
        <f>VLOOKUP(F79,[4]ppr!$B:$E,4,FALSE)</f>
        <v>169.08037221184196</v>
      </c>
      <c r="AF79">
        <f>VLOOKUP(F79,[4]half_ppr!$B:$E,4,FALSE)</f>
        <v>138.60445797034197</v>
      </c>
      <c r="AG79">
        <f>VLOOKUP(F79,[4]std!$B:$E,4,FALSE)</f>
        <v>108.12854372884198</v>
      </c>
      <c r="AH79">
        <f>IFERROR(VLOOKUP(F79,[5]actual_week11_ppr_stats!$A:$B,2,FALSE),0)</f>
        <v>88.8</v>
      </c>
    </row>
    <row r="80" spans="1:34" x14ac:dyDescent="0.2">
      <c r="A80">
        <v>79</v>
      </c>
      <c r="B80">
        <v>21183</v>
      </c>
      <c r="C80" t="s">
        <v>117</v>
      </c>
      <c r="D80" t="str" cm="1">
        <f t="array" ref="D80:E80">_xlfn.TEXTSPLIT(C80, ", ")</f>
        <v>Tracy</v>
      </c>
      <c r="E80" t="str">
        <v>Tyrone</v>
      </c>
      <c r="F80" t="str">
        <f t="shared" si="16"/>
        <v>Tyrone Tracy</v>
      </c>
      <c r="G80" t="s">
        <v>24</v>
      </c>
      <c r="H80" t="s">
        <v>12</v>
      </c>
      <c r="I80">
        <v>81.05</v>
      </c>
      <c r="J80">
        <v>62</v>
      </c>
      <c r="K80">
        <v>103</v>
      </c>
      <c r="L80">
        <f>VLOOKUP(G80,byes!$A:$B,2,FALSE)</f>
        <v>14</v>
      </c>
      <c r="M80">
        <f t="shared" si="17"/>
        <v>0</v>
      </c>
      <c r="N80">
        <f t="shared" si="18"/>
        <v>0</v>
      </c>
      <c r="O80">
        <f t="shared" si="19"/>
        <v>0</v>
      </c>
      <c r="P80">
        <f t="shared" si="20"/>
        <v>0</v>
      </c>
      <c r="Q80">
        <f t="shared" si="21"/>
        <v>0</v>
      </c>
      <c r="R80">
        <f t="shared" si="22"/>
        <v>0</v>
      </c>
      <c r="S80">
        <f t="shared" si="23"/>
        <v>0</v>
      </c>
      <c r="T80">
        <f t="shared" si="24"/>
        <v>0</v>
      </c>
      <c r="U80">
        <f t="shared" si="25"/>
        <v>1</v>
      </c>
      <c r="V80">
        <f t="shared" si="26"/>
        <v>0</v>
      </c>
      <c r="W80">
        <f t="shared" si="27"/>
        <v>1</v>
      </c>
      <c r="X80">
        <f t="shared" si="28"/>
        <v>0</v>
      </c>
      <c r="Y80">
        <f t="shared" si="29"/>
        <v>0</v>
      </c>
      <c r="Z80">
        <f t="shared" si="30"/>
        <v>1</v>
      </c>
      <c r="AA80">
        <v>1</v>
      </c>
      <c r="AB80">
        <f>VLOOKUP(F80,[1]pff_ppr_projections!$B:$D,3,FALSE)</f>
        <v>164</v>
      </c>
      <c r="AC80">
        <f>VLOOKUP(F80,[2]numberFire_ppr_projections!$A:$B,2,FALSE)</f>
        <v>155.4</v>
      </c>
      <c r="AD80">
        <f>VLOOKUP(F80,[3]rotoballer_ppr_projections!$B:$G,6,FALSE)</f>
        <v>186</v>
      </c>
      <c r="AE80">
        <f>VLOOKUP(F80,[4]ppr!$B:$E,4,FALSE)</f>
        <v>185.42796133663805</v>
      </c>
      <c r="AF80">
        <f>VLOOKUP(F80,[4]half_ppr!$B:$E,4,FALSE)</f>
        <v>167.55756768832805</v>
      </c>
      <c r="AG80">
        <f>VLOOKUP(F80,[4]std!$B:$E,4,FALSE)</f>
        <v>149.68717404001802</v>
      </c>
      <c r="AH80">
        <f>IFERROR(VLOOKUP(F80,[5]actual_week11_ppr_stats!$A:$B,2,FALSE),0)</f>
        <v>71.400000000000006</v>
      </c>
    </row>
    <row r="81" spans="1:34" x14ac:dyDescent="0.2">
      <c r="A81">
        <v>80</v>
      </c>
      <c r="B81">
        <v>11842</v>
      </c>
      <c r="C81" t="s">
        <v>118</v>
      </c>
      <c r="D81" t="str" cm="1">
        <f t="array" ref="D81:E81">_xlfn.TEXTSPLIT(C81, ", ")</f>
        <v>Kelce</v>
      </c>
      <c r="E81" t="str">
        <v>Travis</v>
      </c>
      <c r="F81" t="str">
        <f t="shared" si="16"/>
        <v>Travis Kelce</v>
      </c>
      <c r="G81" t="s">
        <v>75</v>
      </c>
      <c r="H81" t="s">
        <v>47</v>
      </c>
      <c r="I81">
        <v>82.41</v>
      </c>
      <c r="J81">
        <v>50</v>
      </c>
      <c r="K81">
        <v>104</v>
      </c>
      <c r="L81">
        <f>VLOOKUP(G81,byes!$A:$B,2,FALSE)</f>
        <v>10</v>
      </c>
      <c r="M81">
        <f t="shared" si="17"/>
        <v>0</v>
      </c>
      <c r="N81">
        <f t="shared" si="18"/>
        <v>0</v>
      </c>
      <c r="O81">
        <f t="shared" si="19"/>
        <v>0</v>
      </c>
      <c r="P81">
        <f t="shared" si="20"/>
        <v>0</v>
      </c>
      <c r="Q81">
        <f t="shared" si="21"/>
        <v>0</v>
      </c>
      <c r="R81">
        <f t="shared" si="22"/>
        <v>1</v>
      </c>
      <c r="S81">
        <f t="shared" si="23"/>
        <v>0</v>
      </c>
      <c r="T81">
        <f t="shared" si="24"/>
        <v>0</v>
      </c>
      <c r="U81">
        <f t="shared" si="25"/>
        <v>0</v>
      </c>
      <c r="V81">
        <f t="shared" si="26"/>
        <v>0</v>
      </c>
      <c r="W81">
        <f t="shared" si="27"/>
        <v>0</v>
      </c>
      <c r="X81">
        <f t="shared" si="28"/>
        <v>0</v>
      </c>
      <c r="Y81">
        <f t="shared" si="29"/>
        <v>1</v>
      </c>
      <c r="Z81">
        <f t="shared" si="30"/>
        <v>1</v>
      </c>
      <c r="AA81">
        <f t="shared" si="31"/>
        <v>1</v>
      </c>
      <c r="AB81">
        <f>VLOOKUP(F81,[1]pff_ppr_projections!$B:$D,3,FALSE)</f>
        <v>158.9</v>
      </c>
      <c r="AC81">
        <f>VLOOKUP(F81,[2]numberFire_ppr_projections!$A:$B,2,FALSE)</f>
        <v>204.7</v>
      </c>
      <c r="AD81">
        <f>VLOOKUP(F81,[3]rotoballer_ppr_projections!$B:$G,6,FALSE)</f>
        <v>188</v>
      </c>
      <c r="AE81">
        <f>VLOOKUP(F81,[4]ppr!$B:$E,4,FALSE)</f>
        <v>224.64166742602896</v>
      </c>
      <c r="AF81">
        <f>VLOOKUP(F81,[4]half_ppr!$B:$E,4,FALSE)</f>
        <v>180.66326738177901</v>
      </c>
      <c r="AG81">
        <f>VLOOKUP(F81,[4]std!$B:$E,4,FALSE)</f>
        <v>136.684867337529</v>
      </c>
      <c r="AH81">
        <f>IFERROR(VLOOKUP(F81,[5]actual_week11_ppr_stats!$A:$B,2,FALSE),0)</f>
        <v>137.1</v>
      </c>
    </row>
    <row r="82" spans="1:34" x14ac:dyDescent="0.2">
      <c r="A82">
        <v>81</v>
      </c>
      <c r="B82">
        <v>19833</v>
      </c>
      <c r="C82" t="s">
        <v>119</v>
      </c>
      <c r="D82" t="str" cm="1">
        <f t="array" ref="D82:E82">_xlfn.TEXTSPLIT(C82, ", ")</f>
        <v>Warren</v>
      </c>
      <c r="E82" t="str">
        <v>Jaylen</v>
      </c>
      <c r="F82" t="str">
        <f t="shared" si="16"/>
        <v>Jaylen Warren</v>
      </c>
      <c r="G82" t="s">
        <v>82</v>
      </c>
      <c r="H82" t="s">
        <v>12</v>
      </c>
      <c r="I82">
        <v>82.94</v>
      </c>
      <c r="J82">
        <v>62</v>
      </c>
      <c r="K82">
        <v>102</v>
      </c>
      <c r="L82">
        <f>VLOOKUP(G82,byes!$A:$B,2,FALSE)</f>
        <v>5</v>
      </c>
      <c r="M82">
        <f t="shared" si="17"/>
        <v>1</v>
      </c>
      <c r="N82">
        <f t="shared" si="18"/>
        <v>0</v>
      </c>
      <c r="O82">
        <f t="shared" si="19"/>
        <v>0</v>
      </c>
      <c r="P82">
        <f t="shared" si="20"/>
        <v>0</v>
      </c>
      <c r="Q82">
        <f t="shared" si="21"/>
        <v>0</v>
      </c>
      <c r="R82">
        <f t="shared" si="22"/>
        <v>0</v>
      </c>
      <c r="S82">
        <f t="shared" si="23"/>
        <v>0</v>
      </c>
      <c r="T82">
        <f t="shared" si="24"/>
        <v>0</v>
      </c>
      <c r="U82">
        <f t="shared" si="25"/>
        <v>0</v>
      </c>
      <c r="V82">
        <f t="shared" si="26"/>
        <v>0</v>
      </c>
      <c r="W82">
        <f t="shared" si="27"/>
        <v>1</v>
      </c>
      <c r="X82">
        <f t="shared" si="28"/>
        <v>0</v>
      </c>
      <c r="Y82">
        <f t="shared" si="29"/>
        <v>0</v>
      </c>
      <c r="Z82">
        <f t="shared" si="30"/>
        <v>1</v>
      </c>
      <c r="AA82">
        <v>1</v>
      </c>
      <c r="AB82">
        <f>VLOOKUP(F82,[1]pff_ppr_projections!$B:$D,3,FALSE)</f>
        <v>188.2</v>
      </c>
      <c r="AC82">
        <f>VLOOKUP(F82,[2]numberFire_ppr_projections!$A:$B,2,FALSE)</f>
        <v>181.3</v>
      </c>
      <c r="AD82">
        <f>VLOOKUP(F82,[3]rotoballer_ppr_projections!$B:$G,6,FALSE)</f>
        <v>177</v>
      </c>
      <c r="AE82">
        <f>VLOOKUP(F82,[4]ppr!$B:$E,4,FALSE)</f>
        <v>191.21323371192</v>
      </c>
      <c r="AF82">
        <f>VLOOKUP(F82,[4]half_ppr!$B:$E,4,FALSE)</f>
        <v>170.44726695191997</v>
      </c>
      <c r="AG82">
        <f>VLOOKUP(F82,[4]std!$B:$E,4,FALSE)</f>
        <v>149.68130019192</v>
      </c>
      <c r="AH82">
        <f>IFERROR(VLOOKUP(F82,[5]actual_week11_ppr_stats!$A:$B,2,FALSE),0)</f>
        <v>118.5</v>
      </c>
    </row>
    <row r="83" spans="1:34" x14ac:dyDescent="0.2">
      <c r="A83">
        <v>82</v>
      </c>
      <c r="B83">
        <v>19469</v>
      </c>
      <c r="C83" t="s">
        <v>120</v>
      </c>
      <c r="D83" t="str" cm="1">
        <f t="array" ref="D83:E83">_xlfn.TEXTSPLIT(C83, ", ")</f>
        <v>Charbonnet</v>
      </c>
      <c r="E83" t="str">
        <v>Zach</v>
      </c>
      <c r="F83" t="str">
        <f t="shared" si="16"/>
        <v>Zach Charbonnet</v>
      </c>
      <c r="G83" t="s">
        <v>51</v>
      </c>
      <c r="H83" t="s">
        <v>12</v>
      </c>
      <c r="I83">
        <v>83.27</v>
      </c>
      <c r="J83">
        <v>62</v>
      </c>
      <c r="K83">
        <v>98</v>
      </c>
      <c r="L83">
        <f>VLOOKUP(G83,byes!$A:$B,2,FALSE)</f>
        <v>8</v>
      </c>
      <c r="M83">
        <f t="shared" si="17"/>
        <v>0</v>
      </c>
      <c r="N83">
        <f t="shared" si="18"/>
        <v>0</v>
      </c>
      <c r="O83">
        <f t="shared" si="19"/>
        <v>0</v>
      </c>
      <c r="P83">
        <f t="shared" si="20"/>
        <v>1</v>
      </c>
      <c r="Q83">
        <f t="shared" si="21"/>
        <v>0</v>
      </c>
      <c r="R83">
        <f t="shared" si="22"/>
        <v>0</v>
      </c>
      <c r="S83">
        <f t="shared" si="23"/>
        <v>0</v>
      </c>
      <c r="T83">
        <f t="shared" si="24"/>
        <v>0</v>
      </c>
      <c r="U83">
        <f t="shared" si="25"/>
        <v>0</v>
      </c>
      <c r="V83">
        <f t="shared" si="26"/>
        <v>0</v>
      </c>
      <c r="W83">
        <f t="shared" si="27"/>
        <v>1</v>
      </c>
      <c r="X83">
        <f t="shared" si="28"/>
        <v>0</v>
      </c>
      <c r="Y83">
        <f t="shared" si="29"/>
        <v>0</v>
      </c>
      <c r="Z83">
        <f t="shared" si="30"/>
        <v>1</v>
      </c>
      <c r="AA83">
        <v>1</v>
      </c>
      <c r="AB83">
        <f>VLOOKUP(F83,[1]pff_ppr_projections!$B:$D,3,FALSE)</f>
        <v>153.9</v>
      </c>
      <c r="AC83">
        <f>VLOOKUP(F83,[2]numberFire_ppr_projections!$A:$B,2,FALSE)</f>
        <v>151.19999999999999</v>
      </c>
      <c r="AD83">
        <f>VLOOKUP(F83,[3]rotoballer_ppr_projections!$B:$G,6,FALSE)</f>
        <v>163</v>
      </c>
      <c r="AE83">
        <f>VLOOKUP(F83,[4]ppr!$B:$E,4,FALSE)</f>
        <v>152.775621526528</v>
      </c>
      <c r="AF83">
        <f>VLOOKUP(F83,[4]half_ppr!$B:$E,4,FALSE)</f>
        <v>134.90138114252798</v>
      </c>
      <c r="AG83">
        <f>VLOOKUP(F83,[4]std!$B:$E,4,FALSE)</f>
        <v>117.02714075852801</v>
      </c>
      <c r="AH83">
        <f>IFERROR(VLOOKUP(F83,[5]actual_week11_ppr_stats!$A:$B,2,FALSE),0)</f>
        <v>86.7</v>
      </c>
    </row>
    <row r="84" spans="1:34" x14ac:dyDescent="0.2">
      <c r="A84">
        <v>83</v>
      </c>
      <c r="B84">
        <v>17014</v>
      </c>
      <c r="C84" t="s">
        <v>121</v>
      </c>
      <c r="D84" t="str" cm="1">
        <f t="array" ref="D84:E84">_xlfn.TEXTSPLIT(C84, ", ")</f>
        <v>Hockenson</v>
      </c>
      <c r="E84" t="str">
        <v>T.J.</v>
      </c>
      <c r="F84" t="str">
        <f t="shared" si="16"/>
        <v>TJ Hockenson</v>
      </c>
      <c r="G84" t="s">
        <v>20</v>
      </c>
      <c r="H84" t="s">
        <v>47</v>
      </c>
      <c r="I84">
        <v>84.68</v>
      </c>
      <c r="J84">
        <v>58</v>
      </c>
      <c r="K84">
        <v>110</v>
      </c>
      <c r="L84">
        <f>VLOOKUP(G84,byes!$A:$B,2,FALSE)</f>
        <v>6</v>
      </c>
      <c r="M84">
        <f t="shared" si="17"/>
        <v>0</v>
      </c>
      <c r="N84">
        <f t="shared" si="18"/>
        <v>1</v>
      </c>
      <c r="O84">
        <f t="shared" si="19"/>
        <v>0</v>
      </c>
      <c r="P84">
        <f t="shared" si="20"/>
        <v>0</v>
      </c>
      <c r="Q84">
        <f t="shared" si="21"/>
        <v>0</v>
      </c>
      <c r="R84">
        <f t="shared" si="22"/>
        <v>0</v>
      </c>
      <c r="S84">
        <f t="shared" si="23"/>
        <v>0</v>
      </c>
      <c r="T84">
        <f t="shared" si="24"/>
        <v>0</v>
      </c>
      <c r="U84">
        <f t="shared" si="25"/>
        <v>0</v>
      </c>
      <c r="V84">
        <f t="shared" si="26"/>
        <v>0</v>
      </c>
      <c r="W84">
        <f t="shared" si="27"/>
        <v>0</v>
      </c>
      <c r="X84">
        <f t="shared" si="28"/>
        <v>0</v>
      </c>
      <c r="Y84">
        <f t="shared" si="29"/>
        <v>1</v>
      </c>
      <c r="Z84">
        <f t="shared" si="30"/>
        <v>1</v>
      </c>
      <c r="AA84">
        <v>1</v>
      </c>
      <c r="AB84">
        <f>VLOOKUP(F84,[1]pff_ppr_projections!$B:$D,3,FALSE)</f>
        <v>186.8</v>
      </c>
      <c r="AC84">
        <f>VLOOKUP(F84,[2]numberFire_ppr_projections!$A:$B,2,FALSE)</f>
        <v>200.1</v>
      </c>
      <c r="AD84">
        <f>VLOOKUP(F84,[3]rotoballer_ppr_projections!$B:$G,6,FALSE)</f>
        <v>175</v>
      </c>
      <c r="AE84">
        <f>VLOOKUP(F84,[4]ppr!$B:$E,4,FALSE)</f>
        <v>162.97015409176313</v>
      </c>
      <c r="AF84">
        <f>VLOOKUP(F84,[4]half_ppr!$B:$E,4,FALSE)</f>
        <v>130.03358293336314</v>
      </c>
      <c r="AG84">
        <f>VLOOKUP(F84,[4]std!$B:$E,4,FALSE)</f>
        <v>97.097011774963164</v>
      </c>
      <c r="AH84">
        <f>IFERROR(VLOOKUP(F84,[5]actual_week11_ppr_stats!$A:$B,2,FALSE),0)</f>
        <v>74</v>
      </c>
    </row>
    <row r="85" spans="1:34" x14ac:dyDescent="0.2">
      <c r="A85">
        <v>84</v>
      </c>
      <c r="B85">
        <v>22067</v>
      </c>
      <c r="C85" t="s">
        <v>122</v>
      </c>
      <c r="D85" t="str" cm="1">
        <f t="array" ref="D85:E85">_xlfn.TEXTSPLIT(C85, ", ")</f>
        <v>Warren</v>
      </c>
      <c r="E85" t="str">
        <v>Tyler</v>
      </c>
      <c r="F85" t="str">
        <f t="shared" si="16"/>
        <v>Tyler Warren</v>
      </c>
      <c r="G85" t="s">
        <v>43</v>
      </c>
      <c r="H85" t="s">
        <v>47</v>
      </c>
      <c r="I85">
        <v>85.43</v>
      </c>
      <c r="J85">
        <v>68</v>
      </c>
      <c r="K85">
        <v>104</v>
      </c>
      <c r="L85">
        <f>VLOOKUP(G85,byes!$A:$B,2,FALSE)</f>
        <v>11</v>
      </c>
      <c r="M85">
        <f t="shared" si="17"/>
        <v>0</v>
      </c>
      <c r="N85">
        <f t="shared" si="18"/>
        <v>0</v>
      </c>
      <c r="O85">
        <f t="shared" si="19"/>
        <v>0</v>
      </c>
      <c r="P85">
        <f t="shared" si="20"/>
        <v>0</v>
      </c>
      <c r="Q85">
        <f t="shared" si="21"/>
        <v>0</v>
      </c>
      <c r="R85">
        <f t="shared" si="22"/>
        <v>0</v>
      </c>
      <c r="S85">
        <f t="shared" si="23"/>
        <v>1</v>
      </c>
      <c r="T85">
        <f t="shared" si="24"/>
        <v>0</v>
      </c>
      <c r="U85">
        <f t="shared" si="25"/>
        <v>0</v>
      </c>
      <c r="V85">
        <f t="shared" si="26"/>
        <v>0</v>
      </c>
      <c r="W85">
        <f t="shared" si="27"/>
        <v>0</v>
      </c>
      <c r="X85">
        <f t="shared" si="28"/>
        <v>0</v>
      </c>
      <c r="Y85">
        <f t="shared" si="29"/>
        <v>1</v>
      </c>
      <c r="Z85">
        <f t="shared" si="30"/>
        <v>1</v>
      </c>
      <c r="AA85">
        <f t="shared" si="31"/>
        <v>1</v>
      </c>
      <c r="AB85">
        <f>VLOOKUP(F85,[1]pff_ppr_projections!$B:$D,3,FALSE)</f>
        <v>151.4</v>
      </c>
      <c r="AC85">
        <f>VLOOKUP(F85,[2]numberFire_ppr_projections!$A:$B,2,FALSE)</f>
        <v>145.6</v>
      </c>
      <c r="AD85">
        <f>VLOOKUP(F85,[3]rotoballer_ppr_projections!$B:$G,6,FALSE)</f>
        <v>159</v>
      </c>
      <c r="AE85">
        <f>VLOOKUP(F85,[4]ppr!$B:$E,4,FALSE)</f>
        <v>143.57885718453983</v>
      </c>
      <c r="AF85">
        <f>VLOOKUP(F85,[4]half_ppr!$B:$E,4,FALSE)</f>
        <v>116.30323841847982</v>
      </c>
      <c r="AG85">
        <f>VLOOKUP(F85,[4]std!$B:$E,4,FALSE)</f>
        <v>89.027619652419844</v>
      </c>
      <c r="AH85">
        <f>IFERROR(VLOOKUP(F85,[5]actual_week11_ppr_stats!$A:$B,2,FALSE),0)</f>
        <v>136.30000000000001</v>
      </c>
    </row>
    <row r="86" spans="1:34" x14ac:dyDescent="0.2">
      <c r="A86">
        <v>85</v>
      </c>
      <c r="B86">
        <v>22098</v>
      </c>
      <c r="C86" t="s">
        <v>123</v>
      </c>
      <c r="D86" t="str" cm="1">
        <f t="array" ref="D86:E86">_xlfn.TEXTSPLIT(C86, ", ")</f>
        <v>Johnson</v>
      </c>
      <c r="E86" t="str">
        <v>Kaleb</v>
      </c>
      <c r="F86" t="str">
        <f t="shared" si="16"/>
        <v>Kaleb Johnson</v>
      </c>
      <c r="G86" t="s">
        <v>82</v>
      </c>
      <c r="H86" t="s">
        <v>12</v>
      </c>
      <c r="I86">
        <v>86.55</v>
      </c>
      <c r="J86">
        <v>66</v>
      </c>
      <c r="K86">
        <v>109</v>
      </c>
      <c r="L86">
        <f>VLOOKUP(G86,byes!$A:$B,2,FALSE)</f>
        <v>5</v>
      </c>
      <c r="M86">
        <f t="shared" si="17"/>
        <v>1</v>
      </c>
      <c r="N86">
        <f t="shared" si="18"/>
        <v>0</v>
      </c>
      <c r="O86">
        <f t="shared" si="19"/>
        <v>0</v>
      </c>
      <c r="P86">
        <f t="shared" si="20"/>
        <v>0</v>
      </c>
      <c r="Q86">
        <f t="shared" si="21"/>
        <v>0</v>
      </c>
      <c r="R86">
        <f t="shared" si="22"/>
        <v>0</v>
      </c>
      <c r="S86">
        <f t="shared" si="23"/>
        <v>0</v>
      </c>
      <c r="T86">
        <f t="shared" si="24"/>
        <v>0</v>
      </c>
      <c r="U86">
        <f t="shared" si="25"/>
        <v>0</v>
      </c>
      <c r="V86">
        <f t="shared" si="26"/>
        <v>0</v>
      </c>
      <c r="W86">
        <f t="shared" si="27"/>
        <v>1</v>
      </c>
      <c r="X86">
        <f t="shared" si="28"/>
        <v>0</v>
      </c>
      <c r="Y86">
        <f t="shared" si="29"/>
        <v>0</v>
      </c>
      <c r="Z86">
        <f t="shared" si="30"/>
        <v>1</v>
      </c>
      <c r="AA86">
        <v>1</v>
      </c>
      <c r="AB86">
        <f>VLOOKUP(F86,[1]pff_ppr_projections!$B:$D,3,FALSE)</f>
        <v>155.30000000000001</v>
      </c>
      <c r="AC86">
        <f>VLOOKUP(F86,[2]numberFire_ppr_projections!$A:$B,2,FALSE)</f>
        <v>136.69999999999999</v>
      </c>
      <c r="AD86">
        <f>VLOOKUP(F86,[3]rotoballer_ppr_projections!$B:$G,6,FALSE)</f>
        <v>162</v>
      </c>
      <c r="AE86">
        <f>VLOOKUP(F86,[4]ppr!$B:$E,4,FALSE)</f>
        <v>153.92101916614499</v>
      </c>
      <c r="AF86">
        <f>VLOOKUP(F86,[4]half_ppr!$B:$E,4,FALSE)</f>
        <v>147.22914955864499</v>
      </c>
      <c r="AG86">
        <f>VLOOKUP(F86,[4]std!$B:$E,4,FALSE)</f>
        <v>140.537279951145</v>
      </c>
      <c r="AH86">
        <f>IFERROR(VLOOKUP(F86,[5]actual_week11_ppr_stats!$A:$B,2,FALSE),0)</f>
        <v>7.7</v>
      </c>
    </row>
    <row r="87" spans="1:34" x14ac:dyDescent="0.2">
      <c r="A87">
        <v>86</v>
      </c>
      <c r="B87">
        <v>19872</v>
      </c>
      <c r="C87" t="s">
        <v>124</v>
      </c>
      <c r="D87" t="str" cm="1">
        <f t="array" ref="D87:E87">_xlfn.TEXTSPLIT(C87, ", ")</f>
        <v>Mason</v>
      </c>
      <c r="E87" t="str">
        <v>Jordan</v>
      </c>
      <c r="F87" t="str">
        <f t="shared" si="16"/>
        <v>Jordan Mason</v>
      </c>
      <c r="G87" t="s">
        <v>20</v>
      </c>
      <c r="H87" t="s">
        <v>12</v>
      </c>
      <c r="I87">
        <v>87.26</v>
      </c>
      <c r="J87">
        <v>61</v>
      </c>
      <c r="K87">
        <v>103</v>
      </c>
      <c r="L87">
        <f>VLOOKUP(G87,byes!$A:$B,2,FALSE)</f>
        <v>6</v>
      </c>
      <c r="M87">
        <f t="shared" si="17"/>
        <v>0</v>
      </c>
      <c r="N87">
        <f t="shared" si="18"/>
        <v>1</v>
      </c>
      <c r="O87">
        <f t="shared" si="19"/>
        <v>0</v>
      </c>
      <c r="P87">
        <f t="shared" si="20"/>
        <v>0</v>
      </c>
      <c r="Q87">
        <f t="shared" si="21"/>
        <v>0</v>
      </c>
      <c r="R87">
        <f t="shared" si="22"/>
        <v>0</v>
      </c>
      <c r="S87">
        <f t="shared" si="23"/>
        <v>0</v>
      </c>
      <c r="T87">
        <f t="shared" si="24"/>
        <v>0</v>
      </c>
      <c r="U87">
        <f t="shared" si="25"/>
        <v>0</v>
      </c>
      <c r="V87">
        <f t="shared" si="26"/>
        <v>0</v>
      </c>
      <c r="W87">
        <f t="shared" si="27"/>
        <v>1</v>
      </c>
      <c r="X87">
        <f t="shared" si="28"/>
        <v>0</v>
      </c>
      <c r="Y87">
        <f t="shared" si="29"/>
        <v>0</v>
      </c>
      <c r="Z87">
        <f t="shared" si="30"/>
        <v>1</v>
      </c>
      <c r="AA87">
        <v>1</v>
      </c>
      <c r="AB87">
        <f>VLOOKUP(F87,[1]pff_ppr_projections!$B:$D,3,FALSE)</f>
        <v>126</v>
      </c>
      <c r="AC87">
        <f>VLOOKUP(F87,[2]numberFire_ppr_projections!$A:$B,2,FALSE)</f>
        <v>141.9</v>
      </c>
      <c r="AD87">
        <f>VLOOKUP(F87,[3]rotoballer_ppr_projections!$B:$G,6,FALSE)</f>
        <v>136</v>
      </c>
      <c r="AE87">
        <f>VLOOKUP(F87,[4]ppr!$B:$E,4,FALSE)</f>
        <v>144.67247265681061</v>
      </c>
      <c r="AF87">
        <f>VLOOKUP(F87,[4]half_ppr!$B:$E,4,FALSE)</f>
        <v>136.59213784881061</v>
      </c>
      <c r="AG87">
        <f>VLOOKUP(F87,[4]std!$B:$E,4,FALSE)</f>
        <v>128.51180304081063</v>
      </c>
      <c r="AH87">
        <f>IFERROR(VLOOKUP(F87,[5]actual_week11_ppr_stats!$A:$B,2,FALSE),0)</f>
        <v>95.3</v>
      </c>
    </row>
    <row r="88" spans="1:34" x14ac:dyDescent="0.2">
      <c r="A88">
        <v>87</v>
      </c>
      <c r="B88">
        <v>18033</v>
      </c>
      <c r="C88" t="s">
        <v>125</v>
      </c>
      <c r="D88" t="str" cm="1">
        <f t="array" ref="D88:E88">_xlfn.TEXTSPLIT(C88, ", ")</f>
        <v>Jennings</v>
      </c>
      <c r="E88" t="str">
        <v>Jauan</v>
      </c>
      <c r="F88" t="str">
        <f t="shared" si="16"/>
        <v>Jauan Jennings</v>
      </c>
      <c r="G88" t="s">
        <v>22</v>
      </c>
      <c r="H88" t="s">
        <v>9</v>
      </c>
      <c r="I88">
        <v>87.65</v>
      </c>
      <c r="J88">
        <v>70</v>
      </c>
      <c r="K88">
        <v>114</v>
      </c>
      <c r="L88">
        <f>VLOOKUP(G88,byes!$A:$B,2,FALSE)</f>
        <v>14</v>
      </c>
      <c r="M88">
        <f t="shared" si="17"/>
        <v>0</v>
      </c>
      <c r="N88">
        <f t="shared" si="18"/>
        <v>0</v>
      </c>
      <c r="O88">
        <f t="shared" si="19"/>
        <v>0</v>
      </c>
      <c r="P88">
        <f t="shared" si="20"/>
        <v>0</v>
      </c>
      <c r="Q88">
        <f t="shared" si="21"/>
        <v>0</v>
      </c>
      <c r="R88">
        <f t="shared" si="22"/>
        <v>0</v>
      </c>
      <c r="S88">
        <f t="shared" si="23"/>
        <v>0</v>
      </c>
      <c r="T88">
        <f t="shared" si="24"/>
        <v>0</v>
      </c>
      <c r="U88">
        <f t="shared" si="25"/>
        <v>1</v>
      </c>
      <c r="V88">
        <f t="shared" si="26"/>
        <v>0</v>
      </c>
      <c r="W88">
        <f t="shared" si="27"/>
        <v>0</v>
      </c>
      <c r="X88">
        <f t="shared" si="28"/>
        <v>1</v>
      </c>
      <c r="Y88">
        <f t="shared" si="29"/>
        <v>0</v>
      </c>
      <c r="Z88">
        <f t="shared" si="30"/>
        <v>1</v>
      </c>
      <c r="AA88">
        <v>1</v>
      </c>
      <c r="AB88">
        <f>VLOOKUP(F88,[1]pff_ppr_projections!$B:$D,3,FALSE)</f>
        <v>189.8</v>
      </c>
      <c r="AC88">
        <f>VLOOKUP(F88,[2]numberFire_ppr_projections!$A:$B,2,FALSE)</f>
        <v>231</v>
      </c>
      <c r="AD88">
        <f>VLOOKUP(F88,[3]rotoballer_ppr_projections!$B:$G,6,FALSE)</f>
        <v>190</v>
      </c>
      <c r="AE88">
        <f>VLOOKUP(F88,[4]ppr!$B:$E,4,FALSE)</f>
        <v>189.00871646735231</v>
      </c>
      <c r="AF88">
        <f>VLOOKUP(F88,[4]half_ppr!$B:$E,4,FALSE)</f>
        <v>155.06318549261232</v>
      </c>
      <c r="AG88">
        <f>VLOOKUP(F88,[4]std!$B:$E,4,FALSE)</f>
        <v>121.11765451787232</v>
      </c>
      <c r="AH88">
        <f>IFERROR(VLOOKUP(F88,[5]actual_week11_ppr_stats!$A:$B,2,FALSE),0)</f>
        <v>87.8</v>
      </c>
    </row>
    <row r="89" spans="1:34" x14ac:dyDescent="0.2">
      <c r="A89">
        <v>88</v>
      </c>
      <c r="B89">
        <v>19462</v>
      </c>
      <c r="C89" t="s">
        <v>126</v>
      </c>
      <c r="D89" t="str" cm="1">
        <f t="array" ref="D89:E89">_xlfn.TEXTSPLIT(C89, ", ")</f>
        <v>Shakir</v>
      </c>
      <c r="E89" t="str">
        <v>Khalil</v>
      </c>
      <c r="F89" t="str">
        <f t="shared" si="16"/>
        <v>Khalil Shakir</v>
      </c>
      <c r="G89" t="s">
        <v>60</v>
      </c>
      <c r="H89" t="s">
        <v>9</v>
      </c>
      <c r="I89">
        <v>89.76</v>
      </c>
      <c r="J89">
        <v>74</v>
      </c>
      <c r="K89">
        <v>118</v>
      </c>
      <c r="L89">
        <f>VLOOKUP(G89,byes!$A:$B,2,FALSE)</f>
        <v>7</v>
      </c>
      <c r="M89">
        <f t="shared" si="17"/>
        <v>0</v>
      </c>
      <c r="N89">
        <f t="shared" si="18"/>
        <v>0</v>
      </c>
      <c r="O89">
        <f t="shared" si="19"/>
        <v>1</v>
      </c>
      <c r="P89">
        <f t="shared" si="20"/>
        <v>0</v>
      </c>
      <c r="Q89">
        <f t="shared" si="21"/>
        <v>0</v>
      </c>
      <c r="R89">
        <f t="shared" si="22"/>
        <v>0</v>
      </c>
      <c r="S89">
        <f t="shared" si="23"/>
        <v>0</v>
      </c>
      <c r="T89">
        <f t="shared" si="24"/>
        <v>0</v>
      </c>
      <c r="U89">
        <f t="shared" si="25"/>
        <v>0</v>
      </c>
      <c r="V89">
        <f t="shared" si="26"/>
        <v>0</v>
      </c>
      <c r="W89">
        <f t="shared" si="27"/>
        <v>0</v>
      </c>
      <c r="X89">
        <f t="shared" si="28"/>
        <v>1</v>
      </c>
      <c r="Y89">
        <f t="shared" si="29"/>
        <v>0</v>
      </c>
      <c r="Z89">
        <f t="shared" si="30"/>
        <v>1</v>
      </c>
      <c r="AA89">
        <f t="shared" si="31"/>
        <v>1</v>
      </c>
      <c r="AB89">
        <f>VLOOKUP(F89,[1]pff_ppr_projections!$B:$D,3,FALSE)</f>
        <v>193.8</v>
      </c>
      <c r="AC89">
        <f>VLOOKUP(F89,[2]numberFire_ppr_projections!$A:$B,2,FALSE)</f>
        <v>176.5</v>
      </c>
      <c r="AD89">
        <f>VLOOKUP(F89,[3]rotoballer_ppr_projections!$B:$G,6,FALSE)</f>
        <v>185</v>
      </c>
      <c r="AE89">
        <f>VLOOKUP(F89,[4]ppr!$B:$E,4,FALSE)</f>
        <v>181.37082856600119</v>
      </c>
      <c r="AF89">
        <f>VLOOKUP(F89,[4]half_ppr!$B:$E,4,FALSE)</f>
        <v>146.85030542820118</v>
      </c>
      <c r="AG89">
        <f>VLOOKUP(F89,[4]std!$B:$E,4,FALSE)</f>
        <v>112.32978229040118</v>
      </c>
      <c r="AH89">
        <f>IFERROR(VLOOKUP(F89,[5]actual_week11_ppr_stats!$A:$B,2,FALSE),0)</f>
        <v>128.9</v>
      </c>
    </row>
    <row r="90" spans="1:34" x14ac:dyDescent="0.2">
      <c r="A90">
        <v>89</v>
      </c>
      <c r="B90">
        <v>16069</v>
      </c>
      <c r="C90" t="s">
        <v>127</v>
      </c>
      <c r="D90" t="str" cm="1">
        <f t="array" ref="D90:E90">_xlfn.TEXTSPLIT(C90, ", ")</f>
        <v>Mayfield</v>
      </c>
      <c r="E90" t="str">
        <v>Baker</v>
      </c>
      <c r="F90" t="str">
        <f t="shared" si="16"/>
        <v>Baker Mayfield</v>
      </c>
      <c r="G90" t="s">
        <v>45</v>
      </c>
      <c r="H90" t="s">
        <v>57</v>
      </c>
      <c r="I90">
        <v>90.99</v>
      </c>
      <c r="J90">
        <v>55</v>
      </c>
      <c r="K90">
        <v>126</v>
      </c>
      <c r="L90">
        <f>VLOOKUP(G90,byes!$A:$B,2,FALSE)</f>
        <v>9</v>
      </c>
      <c r="M90">
        <f t="shared" si="17"/>
        <v>0</v>
      </c>
      <c r="N90">
        <f t="shared" si="18"/>
        <v>0</v>
      </c>
      <c r="O90">
        <f t="shared" si="19"/>
        <v>0</v>
      </c>
      <c r="P90">
        <f t="shared" si="20"/>
        <v>0</v>
      </c>
      <c r="Q90">
        <f t="shared" si="21"/>
        <v>1</v>
      </c>
      <c r="R90">
        <f t="shared" si="22"/>
        <v>0</v>
      </c>
      <c r="S90">
        <f t="shared" si="23"/>
        <v>0</v>
      </c>
      <c r="T90">
        <f t="shared" si="24"/>
        <v>0</v>
      </c>
      <c r="U90">
        <f t="shared" si="25"/>
        <v>0</v>
      </c>
      <c r="V90">
        <f t="shared" si="26"/>
        <v>1</v>
      </c>
      <c r="W90">
        <f t="shared" si="27"/>
        <v>0</v>
      </c>
      <c r="X90">
        <f t="shared" si="28"/>
        <v>0</v>
      </c>
      <c r="Y90">
        <f t="shared" si="29"/>
        <v>0</v>
      </c>
      <c r="Z90">
        <f t="shared" si="30"/>
        <v>0</v>
      </c>
      <c r="AA90">
        <v>1</v>
      </c>
      <c r="AB90">
        <f>VLOOKUP(F90,[1]pff_ppr_projections!$B:$D,3,FALSE)</f>
        <v>297</v>
      </c>
      <c r="AC90">
        <f>VLOOKUP(F90,[2]numberFire_ppr_projections!$A:$B,2,FALSE)</f>
        <v>320.8</v>
      </c>
      <c r="AD90">
        <f>VLOOKUP(F90,[3]rotoballer_ppr_projections!$B:$G,6,FALSE)</f>
        <v>317</v>
      </c>
      <c r="AE90">
        <f>VLOOKUP(F90,[4]ppr!$B:$E,4,FALSE)</f>
        <v>332.28434770840778</v>
      </c>
      <c r="AF90">
        <f>VLOOKUP(F90,[4]half_ppr!$B:$E,4,FALSE)</f>
        <v>332.28434770840778</v>
      </c>
      <c r="AG90">
        <f>VLOOKUP(F90,[4]std!$B:$E,4,FALSE)</f>
        <v>332.28434770840778</v>
      </c>
      <c r="AH90">
        <f>IFERROR(VLOOKUP(F90,[5]actual_week11_ppr_stats!$A:$B,2,FALSE),0)</f>
        <v>185.3</v>
      </c>
    </row>
    <row r="91" spans="1:34" x14ac:dyDescent="0.2">
      <c r="A91">
        <v>90</v>
      </c>
      <c r="B91">
        <v>18770</v>
      </c>
      <c r="C91" t="s">
        <v>246</v>
      </c>
      <c r="D91" t="str" cm="1">
        <f t="array" ref="D91:E91">_xlfn.TEXTSPLIT(C91, ", ")</f>
        <v>Etienne Jr.</v>
      </c>
      <c r="E91" t="str">
        <v>Travis</v>
      </c>
      <c r="F91" t="str">
        <f t="shared" si="16"/>
        <v>Travis Etienne Jr</v>
      </c>
      <c r="G91" t="s">
        <v>26</v>
      </c>
      <c r="H91" t="s">
        <v>12</v>
      </c>
      <c r="I91">
        <v>91.63</v>
      </c>
      <c r="J91">
        <v>72</v>
      </c>
      <c r="K91">
        <v>119</v>
      </c>
      <c r="L91">
        <f>VLOOKUP(G91,byes!$A:$B,2,FALSE)</f>
        <v>8</v>
      </c>
      <c r="M91">
        <f t="shared" si="17"/>
        <v>0</v>
      </c>
      <c r="N91">
        <f t="shared" si="18"/>
        <v>0</v>
      </c>
      <c r="O91">
        <f t="shared" si="19"/>
        <v>0</v>
      </c>
      <c r="P91">
        <f t="shared" si="20"/>
        <v>1</v>
      </c>
      <c r="Q91">
        <f t="shared" si="21"/>
        <v>0</v>
      </c>
      <c r="R91">
        <f t="shared" si="22"/>
        <v>0</v>
      </c>
      <c r="S91">
        <f t="shared" si="23"/>
        <v>0</v>
      </c>
      <c r="T91">
        <f t="shared" si="24"/>
        <v>0</v>
      </c>
      <c r="U91">
        <f t="shared" si="25"/>
        <v>0</v>
      </c>
      <c r="V91">
        <f t="shared" si="26"/>
        <v>0</v>
      </c>
      <c r="W91">
        <f t="shared" si="27"/>
        <v>1</v>
      </c>
      <c r="X91">
        <f t="shared" si="28"/>
        <v>0</v>
      </c>
      <c r="Y91">
        <f t="shared" si="29"/>
        <v>0</v>
      </c>
      <c r="Z91">
        <f t="shared" si="30"/>
        <v>1</v>
      </c>
      <c r="AA91">
        <v>1</v>
      </c>
      <c r="AB91">
        <f>VLOOKUP(F91,[1]pff_ppr_projections!$B:$D,3,FALSE)</f>
        <v>158.80000000000001</v>
      </c>
      <c r="AC91">
        <f>VLOOKUP(F91,[2]numberFire_ppr_projections!$A:$B,2,FALSE)</f>
        <v>177.9</v>
      </c>
      <c r="AD91">
        <f>VLOOKUP(F91,[3]rotoballer_ppr_projections!$B:$G,6,FALSE)</f>
        <v>148</v>
      </c>
      <c r="AE91">
        <f>VLOOKUP(F91,[4]ppr!$B:$E,4,FALSE)</f>
        <v>164.68161983669765</v>
      </c>
      <c r="AF91">
        <f>VLOOKUP(F91,[4]half_ppr!$B:$E,4,FALSE)</f>
        <v>149.48378158109765</v>
      </c>
      <c r="AG91">
        <f>VLOOKUP(F91,[4]std!$B:$E,4,FALSE)</f>
        <v>134.28594332549764</v>
      </c>
      <c r="AH91">
        <f>IFERROR(VLOOKUP(F91,[5]actual_week11_ppr_stats!$A:$B,2,FALSE),0)</f>
        <v>142.9</v>
      </c>
    </row>
    <row r="92" spans="1:34" x14ac:dyDescent="0.2">
      <c r="A92">
        <v>91</v>
      </c>
      <c r="B92">
        <v>17963</v>
      </c>
      <c r="C92" t="s">
        <v>128</v>
      </c>
      <c r="D92" t="str" cm="1">
        <f t="array" ref="D92:E92">_xlfn.TEXTSPLIT(C92, ", ")</f>
        <v>Dobbins</v>
      </c>
      <c r="E92" t="str">
        <v>J.K.</v>
      </c>
      <c r="F92" t="str">
        <f t="shared" si="16"/>
        <v>JK Dobbins</v>
      </c>
      <c r="G92" t="s">
        <v>79</v>
      </c>
      <c r="H92" t="s">
        <v>12</v>
      </c>
      <c r="I92">
        <v>91.64</v>
      </c>
      <c r="J92">
        <v>71</v>
      </c>
      <c r="K92">
        <v>117</v>
      </c>
      <c r="L92">
        <f>VLOOKUP(G92,byes!$A:$B,2,FALSE)</f>
        <v>12</v>
      </c>
      <c r="M92">
        <f t="shared" si="17"/>
        <v>0</v>
      </c>
      <c r="N92">
        <f t="shared" si="18"/>
        <v>0</v>
      </c>
      <c r="O92">
        <f t="shared" si="19"/>
        <v>0</v>
      </c>
      <c r="P92">
        <f t="shared" si="20"/>
        <v>0</v>
      </c>
      <c r="Q92">
        <f t="shared" si="21"/>
        <v>0</v>
      </c>
      <c r="R92">
        <f t="shared" si="22"/>
        <v>0</v>
      </c>
      <c r="S92">
        <f t="shared" si="23"/>
        <v>0</v>
      </c>
      <c r="T92">
        <f t="shared" si="24"/>
        <v>1</v>
      </c>
      <c r="U92">
        <f t="shared" si="25"/>
        <v>0</v>
      </c>
      <c r="V92">
        <f t="shared" si="26"/>
        <v>0</v>
      </c>
      <c r="W92">
        <f t="shared" si="27"/>
        <v>1</v>
      </c>
      <c r="X92">
        <f t="shared" si="28"/>
        <v>0</v>
      </c>
      <c r="Y92">
        <f t="shared" si="29"/>
        <v>0</v>
      </c>
      <c r="Z92">
        <f t="shared" si="30"/>
        <v>1</v>
      </c>
      <c r="AA92">
        <v>1</v>
      </c>
      <c r="AB92">
        <f>VLOOKUP(F92,[1]pff_ppr_projections!$B:$D,3,FALSE)</f>
        <v>108.8</v>
      </c>
      <c r="AC92">
        <f>VLOOKUP(F92,[2]numberFire_ppr_projections!$A:$B,2,FALSE)</f>
        <v>152</v>
      </c>
      <c r="AD92" s="1">
        <f>AVERAGE(AB92,AC92,AE92)</f>
        <v>146.78029218090666</v>
      </c>
      <c r="AE92">
        <f>VLOOKUP(F92,[4]ppr!$B:$E,4,FALSE)</f>
        <v>179.54087654271996</v>
      </c>
      <c r="AF92">
        <f>VLOOKUP(F92,[4]half_ppr!$B:$E,4,FALSE)</f>
        <v>159.94204313471997</v>
      </c>
      <c r="AG92">
        <f>VLOOKUP(F92,[4]std!$B:$E,4,FALSE)</f>
        <v>140.34320972671998</v>
      </c>
      <c r="AH92">
        <f>IFERROR(VLOOKUP(F92,[5]actual_week11_ppr_stats!$A:$B,2,FALSE),0)</f>
        <v>115.9</v>
      </c>
    </row>
    <row r="93" spans="1:34" x14ac:dyDescent="0.2">
      <c r="A93">
        <v>92</v>
      </c>
      <c r="B93">
        <v>17995</v>
      </c>
      <c r="C93" t="s">
        <v>247</v>
      </c>
      <c r="D93" t="str" cm="1">
        <f t="array" ref="D93:E93">_xlfn.TEXTSPLIT(C93, ", ")</f>
        <v>Pittman Jr.</v>
      </c>
      <c r="E93" t="str">
        <v>Michael</v>
      </c>
      <c r="F93" t="str">
        <f t="shared" si="16"/>
        <v>Michael Pittman Jr</v>
      </c>
      <c r="G93" t="s">
        <v>43</v>
      </c>
      <c r="H93" t="s">
        <v>9</v>
      </c>
      <c r="I93">
        <v>93.05</v>
      </c>
      <c r="J93">
        <v>62</v>
      </c>
      <c r="K93">
        <v>112</v>
      </c>
      <c r="L93">
        <f>VLOOKUP(G93,byes!$A:$B,2,FALSE)</f>
        <v>11</v>
      </c>
      <c r="M93">
        <f t="shared" si="17"/>
        <v>0</v>
      </c>
      <c r="N93">
        <f t="shared" si="18"/>
        <v>0</v>
      </c>
      <c r="O93">
        <f t="shared" si="19"/>
        <v>0</v>
      </c>
      <c r="P93">
        <f t="shared" si="20"/>
        <v>0</v>
      </c>
      <c r="Q93">
        <f t="shared" si="21"/>
        <v>0</v>
      </c>
      <c r="R93">
        <f t="shared" si="22"/>
        <v>0</v>
      </c>
      <c r="S93">
        <f t="shared" si="23"/>
        <v>1</v>
      </c>
      <c r="T93">
        <f t="shared" si="24"/>
        <v>0</v>
      </c>
      <c r="U93">
        <f t="shared" si="25"/>
        <v>0</v>
      </c>
      <c r="V93">
        <f t="shared" si="26"/>
        <v>0</v>
      </c>
      <c r="W93">
        <f t="shared" si="27"/>
        <v>0</v>
      </c>
      <c r="X93">
        <f t="shared" si="28"/>
        <v>1</v>
      </c>
      <c r="Y93">
        <f t="shared" si="29"/>
        <v>0</v>
      </c>
      <c r="Z93">
        <f t="shared" si="30"/>
        <v>1</v>
      </c>
      <c r="AA93">
        <f t="shared" si="31"/>
        <v>1</v>
      </c>
      <c r="AB93">
        <f>VLOOKUP(F93,[1]pff_ppr_projections!$B:$D,3,FALSE)</f>
        <v>170.1</v>
      </c>
      <c r="AC93">
        <f>VLOOKUP(F93,[2]numberFire_ppr_projections!$A:$B,2,FALSE)</f>
        <v>191.8</v>
      </c>
      <c r="AD93">
        <f>VLOOKUP(F93,[3]rotoballer_ppr_projections!$B:$G,6,FALSE)</f>
        <v>194</v>
      </c>
      <c r="AE93">
        <f>VLOOKUP(F93,[4]ppr!$B:$E,4,FALSE)</f>
        <v>165.99442497547392</v>
      </c>
      <c r="AF93">
        <f>VLOOKUP(F93,[4]half_ppr!$B:$E,4,FALSE)</f>
        <v>133.8747607000339</v>
      </c>
      <c r="AG93">
        <f>VLOOKUP(F93,[4]std!$B:$E,4,FALSE)</f>
        <v>101.75509642459392</v>
      </c>
      <c r="AH93">
        <f>IFERROR(VLOOKUP(F93,[5]actual_week11_ppr_stats!$A:$B,2,FALSE),0)</f>
        <v>148</v>
      </c>
    </row>
    <row r="94" spans="1:34" x14ac:dyDescent="0.2">
      <c r="A94">
        <v>93</v>
      </c>
      <c r="B94">
        <v>21130</v>
      </c>
      <c r="C94" t="s">
        <v>129</v>
      </c>
      <c r="D94" t="str" cm="1">
        <f t="array" ref="D94:E94">_xlfn.TEXTSPLIT(C94, ", ")</f>
        <v>Coleman</v>
      </c>
      <c r="E94" t="str">
        <v>Keon</v>
      </c>
      <c r="F94" t="str">
        <f t="shared" si="16"/>
        <v>Keon Coleman</v>
      </c>
      <c r="G94" t="s">
        <v>60</v>
      </c>
      <c r="H94" t="s">
        <v>9</v>
      </c>
      <c r="I94">
        <v>93.39</v>
      </c>
      <c r="J94">
        <v>72</v>
      </c>
      <c r="K94">
        <v>110</v>
      </c>
      <c r="L94">
        <f>VLOOKUP(G94,byes!$A:$B,2,FALSE)</f>
        <v>7</v>
      </c>
      <c r="M94">
        <f t="shared" si="17"/>
        <v>0</v>
      </c>
      <c r="N94">
        <f t="shared" si="18"/>
        <v>0</v>
      </c>
      <c r="O94">
        <f t="shared" si="19"/>
        <v>1</v>
      </c>
      <c r="P94">
        <f t="shared" si="20"/>
        <v>0</v>
      </c>
      <c r="Q94">
        <f t="shared" si="21"/>
        <v>0</v>
      </c>
      <c r="R94">
        <f t="shared" si="22"/>
        <v>0</v>
      </c>
      <c r="S94">
        <f t="shared" si="23"/>
        <v>0</v>
      </c>
      <c r="T94">
        <f t="shared" si="24"/>
        <v>0</v>
      </c>
      <c r="U94">
        <f t="shared" si="25"/>
        <v>0</v>
      </c>
      <c r="V94">
        <f t="shared" si="26"/>
        <v>0</v>
      </c>
      <c r="W94">
        <f t="shared" si="27"/>
        <v>0</v>
      </c>
      <c r="X94">
        <f t="shared" si="28"/>
        <v>1</v>
      </c>
      <c r="Y94">
        <f t="shared" si="29"/>
        <v>0</v>
      </c>
      <c r="Z94">
        <f t="shared" si="30"/>
        <v>1</v>
      </c>
      <c r="AA94">
        <v>1</v>
      </c>
      <c r="AB94">
        <f>VLOOKUP(F94,[1]pff_ppr_projections!$B:$D,3,FALSE)</f>
        <v>173.4</v>
      </c>
      <c r="AC94">
        <f>VLOOKUP(F94,[2]numberFire_ppr_projections!$A:$B,2,FALSE)</f>
        <v>185.4</v>
      </c>
      <c r="AD94">
        <f>VLOOKUP(F94,[3]rotoballer_ppr_projections!$B:$G,6,FALSE)</f>
        <v>164</v>
      </c>
      <c r="AE94">
        <f>VLOOKUP(F94,[4]ppr!$B:$E,4,FALSE)</f>
        <v>174.75806348222994</v>
      </c>
      <c r="AF94">
        <f>VLOOKUP(F94,[4]half_ppr!$B:$E,4,FALSE)</f>
        <v>144.43917668794995</v>
      </c>
      <c r="AG94">
        <f>VLOOKUP(F94,[4]std!$B:$E,4,FALSE)</f>
        <v>114.12028989366993</v>
      </c>
      <c r="AH94">
        <f>IFERROR(VLOOKUP(F94,[5]actual_week11_ppr_stats!$A:$B,2,FALSE),0)</f>
        <v>83</v>
      </c>
    </row>
    <row r="95" spans="1:34" x14ac:dyDescent="0.2">
      <c r="A95">
        <v>94</v>
      </c>
      <c r="B95">
        <v>15283</v>
      </c>
      <c r="C95" t="s">
        <v>130</v>
      </c>
      <c r="D95" t="str" cm="1">
        <f t="array" ref="D95:E95">_xlfn.TEXTSPLIT(C95, ", ")</f>
        <v>Kupp</v>
      </c>
      <c r="E95" t="str">
        <v>Cooper</v>
      </c>
      <c r="F95" t="str">
        <f t="shared" si="16"/>
        <v>Cooper Kupp</v>
      </c>
      <c r="G95" t="s">
        <v>51</v>
      </c>
      <c r="H95" t="s">
        <v>9</v>
      </c>
      <c r="I95">
        <v>93.71</v>
      </c>
      <c r="J95">
        <v>69</v>
      </c>
      <c r="K95">
        <v>113</v>
      </c>
      <c r="L95">
        <f>VLOOKUP(G95,byes!$A:$B,2,FALSE)</f>
        <v>8</v>
      </c>
      <c r="M95">
        <f t="shared" si="17"/>
        <v>0</v>
      </c>
      <c r="N95">
        <f t="shared" si="18"/>
        <v>0</v>
      </c>
      <c r="O95">
        <f t="shared" si="19"/>
        <v>0</v>
      </c>
      <c r="P95">
        <f t="shared" si="20"/>
        <v>1</v>
      </c>
      <c r="Q95">
        <f t="shared" si="21"/>
        <v>0</v>
      </c>
      <c r="R95">
        <f t="shared" si="22"/>
        <v>0</v>
      </c>
      <c r="S95">
        <f t="shared" si="23"/>
        <v>0</v>
      </c>
      <c r="T95">
        <f t="shared" si="24"/>
        <v>0</v>
      </c>
      <c r="U95">
        <f t="shared" si="25"/>
        <v>0</v>
      </c>
      <c r="V95">
        <f t="shared" si="26"/>
        <v>0</v>
      </c>
      <c r="W95">
        <f t="shared" si="27"/>
        <v>0</v>
      </c>
      <c r="X95">
        <f t="shared" si="28"/>
        <v>1</v>
      </c>
      <c r="Y95">
        <f t="shared" si="29"/>
        <v>0</v>
      </c>
      <c r="Z95">
        <f t="shared" si="30"/>
        <v>1</v>
      </c>
      <c r="AA95">
        <v>1</v>
      </c>
      <c r="AB95">
        <f>VLOOKUP(F95,[1]pff_ppr_projections!$B:$D,3,FALSE)</f>
        <v>176.8</v>
      </c>
      <c r="AC95">
        <f>VLOOKUP(F95,[2]numberFire_ppr_projections!$A:$B,2,FALSE)</f>
        <v>202.7</v>
      </c>
      <c r="AD95">
        <f>VLOOKUP(F95,[3]rotoballer_ppr_projections!$B:$G,6,FALSE)</f>
        <v>194</v>
      </c>
      <c r="AE95">
        <f>VLOOKUP(F95,[4]ppr!$B:$E,4,FALSE)</f>
        <v>225.41614280849666</v>
      </c>
      <c r="AF95">
        <f>VLOOKUP(F95,[4]half_ppr!$B:$E,4,FALSE)</f>
        <v>183.21918608657666</v>
      </c>
      <c r="AG95">
        <f>VLOOKUP(F95,[4]std!$B:$E,4,FALSE)</f>
        <v>141.02222936465665</v>
      </c>
      <c r="AH95">
        <f>IFERROR(VLOOKUP(F95,[5]actual_week11_ppr_stats!$A:$B,2,FALSE),0)</f>
        <v>74</v>
      </c>
    </row>
    <row r="96" spans="1:34" x14ac:dyDescent="0.2">
      <c r="A96">
        <v>95</v>
      </c>
      <c r="B96">
        <v>14553</v>
      </c>
      <c r="C96" t="s">
        <v>131</v>
      </c>
      <c r="D96" t="str" cm="1">
        <f t="array" ref="D96:E96">_xlfn.TEXTSPLIT(C96, ", ")</f>
        <v>Prescott</v>
      </c>
      <c r="E96" t="str">
        <v>Dak</v>
      </c>
      <c r="F96" t="str">
        <f t="shared" si="16"/>
        <v>Dak Prescott</v>
      </c>
      <c r="G96" t="s">
        <v>16</v>
      </c>
      <c r="H96" t="s">
        <v>57</v>
      </c>
      <c r="I96">
        <v>93.97</v>
      </c>
      <c r="J96">
        <v>60</v>
      </c>
      <c r="K96">
        <v>134</v>
      </c>
      <c r="L96">
        <f>VLOOKUP(G96,byes!$A:$B,2,FALSE)</f>
        <v>10</v>
      </c>
      <c r="M96">
        <f t="shared" si="17"/>
        <v>0</v>
      </c>
      <c r="N96">
        <f t="shared" si="18"/>
        <v>0</v>
      </c>
      <c r="O96">
        <f t="shared" si="19"/>
        <v>0</v>
      </c>
      <c r="P96">
        <f t="shared" si="20"/>
        <v>0</v>
      </c>
      <c r="Q96">
        <f t="shared" si="21"/>
        <v>0</v>
      </c>
      <c r="R96">
        <f t="shared" si="22"/>
        <v>1</v>
      </c>
      <c r="S96">
        <f t="shared" si="23"/>
        <v>0</v>
      </c>
      <c r="T96">
        <f t="shared" si="24"/>
        <v>0</v>
      </c>
      <c r="U96">
        <f t="shared" si="25"/>
        <v>0</v>
      </c>
      <c r="V96">
        <f t="shared" si="26"/>
        <v>1</v>
      </c>
      <c r="W96">
        <f t="shared" si="27"/>
        <v>0</v>
      </c>
      <c r="X96">
        <f t="shared" si="28"/>
        <v>0</v>
      </c>
      <c r="Y96">
        <f t="shared" si="29"/>
        <v>0</v>
      </c>
      <c r="Z96">
        <f t="shared" si="30"/>
        <v>0</v>
      </c>
      <c r="AA96">
        <v>1</v>
      </c>
      <c r="AB96">
        <f>VLOOKUP(F96,[1]pff_ppr_projections!$B:$D,3,FALSE)</f>
        <v>276.10000000000002</v>
      </c>
      <c r="AC96" s="1">
        <f>AVERAGE(AB96,AD96,AE96)</f>
        <v>282.79552622050664</v>
      </c>
      <c r="AD96">
        <f>VLOOKUP(F96,[3]rotoballer_ppr_projections!$B:$G,6,FALSE)</f>
        <v>268</v>
      </c>
      <c r="AE96">
        <f>VLOOKUP(F96,[4]ppr!$B:$E,4,FALSE)</f>
        <v>304.28657866151991</v>
      </c>
      <c r="AF96">
        <f>VLOOKUP(F96,[4]half_ppr!$B:$E,4,FALSE)</f>
        <v>304.28657866151991</v>
      </c>
      <c r="AG96">
        <f>VLOOKUP(F96,[4]std!$B:$E,4,FALSE)</f>
        <v>304.28657866151991</v>
      </c>
      <c r="AH96">
        <f>IFERROR(VLOOKUP(F96,[5]actual_week11_ppr_stats!$A:$B,2,FALSE),0)</f>
        <v>199.2</v>
      </c>
    </row>
    <row r="97" spans="1:34" x14ac:dyDescent="0.2">
      <c r="A97">
        <v>96</v>
      </c>
      <c r="B97">
        <v>20299</v>
      </c>
      <c r="C97" t="s">
        <v>132</v>
      </c>
      <c r="D97" t="str" cm="1">
        <f t="array" ref="D97:E97">_xlfn.TEXTSPLIT(C97, ", ")</f>
        <v>Nix</v>
      </c>
      <c r="E97" t="str">
        <v>Bo</v>
      </c>
      <c r="F97" t="str">
        <f t="shared" si="16"/>
        <v>Bo Nix</v>
      </c>
      <c r="G97" t="s">
        <v>79</v>
      </c>
      <c r="H97" t="s">
        <v>57</v>
      </c>
      <c r="I97">
        <v>94.2</v>
      </c>
      <c r="J97">
        <v>68</v>
      </c>
      <c r="K97">
        <v>129</v>
      </c>
      <c r="L97">
        <f>VLOOKUP(G97,byes!$A:$B,2,FALSE)</f>
        <v>12</v>
      </c>
      <c r="M97">
        <f t="shared" si="17"/>
        <v>0</v>
      </c>
      <c r="N97">
        <f t="shared" si="18"/>
        <v>0</v>
      </c>
      <c r="O97">
        <f t="shared" si="19"/>
        <v>0</v>
      </c>
      <c r="P97">
        <f t="shared" si="20"/>
        <v>0</v>
      </c>
      <c r="Q97">
        <f t="shared" si="21"/>
        <v>0</v>
      </c>
      <c r="R97">
        <f t="shared" si="22"/>
        <v>0</v>
      </c>
      <c r="S97">
        <f t="shared" si="23"/>
        <v>0</v>
      </c>
      <c r="T97">
        <f t="shared" si="24"/>
        <v>1</v>
      </c>
      <c r="U97">
        <f t="shared" si="25"/>
        <v>0</v>
      </c>
      <c r="V97">
        <f t="shared" si="26"/>
        <v>1</v>
      </c>
      <c r="W97">
        <f t="shared" si="27"/>
        <v>0</v>
      </c>
      <c r="X97">
        <f t="shared" si="28"/>
        <v>0</v>
      </c>
      <c r="Y97">
        <f t="shared" si="29"/>
        <v>0</v>
      </c>
      <c r="Z97">
        <f t="shared" si="30"/>
        <v>0</v>
      </c>
      <c r="AA97">
        <f t="shared" si="31"/>
        <v>1</v>
      </c>
      <c r="AB97">
        <f>VLOOKUP(F97,[1]pff_ppr_projections!$B:$D,3,FALSE)</f>
        <v>279.89999999999998</v>
      </c>
      <c r="AC97">
        <f>VLOOKUP(F97,[2]numberFire_ppr_projections!$A:$B,2,FALSE)</f>
        <v>314.89999999999998</v>
      </c>
      <c r="AD97">
        <f>VLOOKUP(F97,[3]rotoballer_ppr_projections!$B:$G,6,FALSE)</f>
        <v>296</v>
      </c>
      <c r="AE97">
        <f>VLOOKUP(F97,[4]ppr!$B:$E,4,FALSE)</f>
        <v>306.64607153709284</v>
      </c>
      <c r="AF97">
        <f>VLOOKUP(F97,[4]half_ppr!$B:$E,4,FALSE)</f>
        <v>306.64607153709284</v>
      </c>
      <c r="AG97">
        <f>VLOOKUP(F97,[4]std!$B:$E,4,FALSE)</f>
        <v>306.64607153709284</v>
      </c>
      <c r="AH97">
        <f>IFERROR(VLOOKUP(F97,[5]actual_week11_ppr_stats!$A:$B,2,FALSE),0)</f>
        <v>200.1</v>
      </c>
    </row>
    <row r="98" spans="1:34" x14ac:dyDescent="0.2">
      <c r="A98">
        <v>97</v>
      </c>
      <c r="B98">
        <v>20283</v>
      </c>
      <c r="C98" t="s">
        <v>133</v>
      </c>
      <c r="D98" t="str" cm="1">
        <f t="array" ref="D98:E98">_xlfn.TEXTSPLIT(C98, ", ")</f>
        <v>Downs</v>
      </c>
      <c r="E98" t="str">
        <v>Josh</v>
      </c>
      <c r="F98" t="str">
        <f t="shared" si="16"/>
        <v>Josh Downs</v>
      </c>
      <c r="G98" t="s">
        <v>43</v>
      </c>
      <c r="H98" t="s">
        <v>9</v>
      </c>
      <c r="I98">
        <v>94.82</v>
      </c>
      <c r="J98">
        <v>74</v>
      </c>
      <c r="K98">
        <v>117</v>
      </c>
      <c r="L98">
        <f>VLOOKUP(G98,byes!$A:$B,2,FALSE)</f>
        <v>11</v>
      </c>
      <c r="M98">
        <f t="shared" si="17"/>
        <v>0</v>
      </c>
      <c r="N98">
        <f t="shared" si="18"/>
        <v>0</v>
      </c>
      <c r="O98">
        <f t="shared" si="19"/>
        <v>0</v>
      </c>
      <c r="P98">
        <f t="shared" si="20"/>
        <v>0</v>
      </c>
      <c r="Q98">
        <f t="shared" si="21"/>
        <v>0</v>
      </c>
      <c r="R98">
        <f t="shared" si="22"/>
        <v>0</v>
      </c>
      <c r="S98">
        <f t="shared" si="23"/>
        <v>1</v>
      </c>
      <c r="T98">
        <f t="shared" si="24"/>
        <v>0</v>
      </c>
      <c r="U98">
        <f t="shared" si="25"/>
        <v>0</v>
      </c>
      <c r="V98">
        <f t="shared" si="26"/>
        <v>0</v>
      </c>
      <c r="W98">
        <f t="shared" si="27"/>
        <v>0</v>
      </c>
      <c r="X98">
        <f t="shared" si="28"/>
        <v>1</v>
      </c>
      <c r="Y98">
        <f t="shared" si="29"/>
        <v>0</v>
      </c>
      <c r="Z98">
        <f t="shared" si="30"/>
        <v>1</v>
      </c>
      <c r="AA98">
        <v>1</v>
      </c>
      <c r="AB98">
        <f>VLOOKUP(F98,[1]pff_ppr_projections!$B:$D,3,FALSE)</f>
        <v>181.4</v>
      </c>
      <c r="AC98">
        <f>VLOOKUP(F98,[2]numberFire_ppr_projections!$A:$B,2,FALSE)</f>
        <v>161.69999999999999</v>
      </c>
      <c r="AD98">
        <f>VLOOKUP(F98,[3]rotoballer_ppr_projections!$B:$G,6,FALSE)</f>
        <v>175</v>
      </c>
      <c r="AE98">
        <f>VLOOKUP(F98,[4]ppr!$B:$E,4,FALSE)</f>
        <v>178.78881486712513</v>
      </c>
      <c r="AF98">
        <f>VLOOKUP(F98,[4]half_ppr!$B:$E,4,FALSE)</f>
        <v>145.94737201864513</v>
      </c>
      <c r="AG98">
        <f>VLOOKUP(F98,[4]std!$B:$E,4,FALSE)</f>
        <v>113.10592917016511</v>
      </c>
      <c r="AH98">
        <f>IFERROR(VLOOKUP(F98,[5]actual_week11_ppr_stats!$A:$B,2,FALSE),0)</f>
        <v>85.6</v>
      </c>
    </row>
    <row r="99" spans="1:34" x14ac:dyDescent="0.2">
      <c r="A99">
        <v>98</v>
      </c>
      <c r="B99">
        <v>22130</v>
      </c>
      <c r="C99" t="s">
        <v>134</v>
      </c>
      <c r="D99" t="str" cm="1">
        <f t="array" ref="D99:E99">_xlfn.TEXTSPLIT(C99, ", ")</f>
        <v>Croskey-Merritt</v>
      </c>
      <c r="E99" t="str">
        <v>Jacory</v>
      </c>
      <c r="F99" t="str">
        <f t="shared" si="16"/>
        <v>Jacory Croskey-Merritt</v>
      </c>
      <c r="G99" t="s">
        <v>71</v>
      </c>
      <c r="H99" t="s">
        <v>12</v>
      </c>
      <c r="I99">
        <v>95.83</v>
      </c>
      <c r="J99">
        <v>73</v>
      </c>
      <c r="K99">
        <v>126</v>
      </c>
      <c r="L99">
        <f>VLOOKUP(G99,byes!$A:$B,2,FALSE)</f>
        <v>12</v>
      </c>
      <c r="M99">
        <f t="shared" si="17"/>
        <v>0</v>
      </c>
      <c r="N99">
        <f t="shared" si="18"/>
        <v>0</v>
      </c>
      <c r="O99">
        <f t="shared" si="19"/>
        <v>0</v>
      </c>
      <c r="P99">
        <f t="shared" si="20"/>
        <v>0</v>
      </c>
      <c r="Q99">
        <f t="shared" si="21"/>
        <v>0</v>
      </c>
      <c r="R99">
        <f t="shared" si="22"/>
        <v>0</v>
      </c>
      <c r="S99">
        <f t="shared" si="23"/>
        <v>0</v>
      </c>
      <c r="T99">
        <f t="shared" si="24"/>
        <v>1</v>
      </c>
      <c r="U99">
        <f t="shared" si="25"/>
        <v>0</v>
      </c>
      <c r="V99">
        <f t="shared" si="26"/>
        <v>0</v>
      </c>
      <c r="W99">
        <f t="shared" si="27"/>
        <v>1</v>
      </c>
      <c r="X99">
        <f t="shared" si="28"/>
        <v>0</v>
      </c>
      <c r="Y99">
        <f t="shared" si="29"/>
        <v>0</v>
      </c>
      <c r="Z99">
        <f t="shared" si="30"/>
        <v>1</v>
      </c>
      <c r="AA99">
        <v>1</v>
      </c>
      <c r="AB99" s="1">
        <f>AVERAGE(AD99,AE99)</f>
        <v>154.3895047123668</v>
      </c>
      <c r="AC99" s="1">
        <f>AVERAGE(AD99,AE99)</f>
        <v>154.3895047123668</v>
      </c>
      <c r="AD99">
        <f>VLOOKUP(F99,[3]rotoballer_ppr_projections!$B:$G,6,FALSE)</f>
        <v>143</v>
      </c>
      <c r="AE99">
        <f>VLOOKUP(F99,[4]ppr!$B:$E,4,FALSE)</f>
        <v>165.7790094247336</v>
      </c>
      <c r="AF99">
        <f>VLOOKUP(F99,[4]half_ppr!$B:$E,4,FALSE)</f>
        <v>156.56853997361134</v>
      </c>
      <c r="AG99">
        <f>VLOOKUP(F99,[4]std!$B:$E,4,FALSE)</f>
        <v>147.3580705224891</v>
      </c>
      <c r="AH99">
        <f>IFERROR(VLOOKUP(F99,[5]actual_week11_ppr_stats!$A:$B,2,FALSE),0)</f>
        <v>89.6</v>
      </c>
    </row>
    <row r="100" spans="1:34" x14ac:dyDescent="0.2">
      <c r="A100">
        <v>99</v>
      </c>
      <c r="B100">
        <v>16075</v>
      </c>
      <c r="C100" t="s">
        <v>135</v>
      </c>
      <c r="D100" t="str" cm="1">
        <f t="array" ref="D100:E100">_xlfn.TEXTSPLIT(C100, ", ")</f>
        <v>Andrews</v>
      </c>
      <c r="E100" t="str">
        <v>Mark</v>
      </c>
      <c r="F100" t="str">
        <f t="shared" si="16"/>
        <v>Mark Andrews</v>
      </c>
      <c r="G100" t="s">
        <v>33</v>
      </c>
      <c r="H100" t="s">
        <v>47</v>
      </c>
      <c r="I100">
        <v>97.46</v>
      </c>
      <c r="J100">
        <v>57</v>
      </c>
      <c r="K100">
        <v>126</v>
      </c>
      <c r="L100">
        <f>VLOOKUP(G100,byes!$A:$B,2,FALSE)</f>
        <v>7</v>
      </c>
      <c r="M100">
        <f t="shared" si="17"/>
        <v>0</v>
      </c>
      <c r="N100">
        <f t="shared" si="18"/>
        <v>0</v>
      </c>
      <c r="O100">
        <f t="shared" si="19"/>
        <v>1</v>
      </c>
      <c r="P100">
        <f t="shared" si="20"/>
        <v>0</v>
      </c>
      <c r="Q100">
        <f t="shared" si="21"/>
        <v>0</v>
      </c>
      <c r="R100">
        <f t="shared" si="22"/>
        <v>0</v>
      </c>
      <c r="S100">
        <f t="shared" si="23"/>
        <v>0</v>
      </c>
      <c r="T100">
        <f t="shared" si="24"/>
        <v>0</v>
      </c>
      <c r="U100">
        <f t="shared" si="25"/>
        <v>0</v>
      </c>
      <c r="V100">
        <f t="shared" si="26"/>
        <v>0</v>
      </c>
      <c r="W100">
        <f t="shared" si="27"/>
        <v>0</v>
      </c>
      <c r="X100">
        <f t="shared" si="28"/>
        <v>0</v>
      </c>
      <c r="Y100">
        <f t="shared" si="29"/>
        <v>1</v>
      </c>
      <c r="Z100">
        <f t="shared" si="30"/>
        <v>1</v>
      </c>
      <c r="AA100">
        <v>1</v>
      </c>
      <c r="AB100">
        <f>VLOOKUP(F100,[1]pff_ppr_projections!$B:$D,3,FALSE)</f>
        <v>154.80000000000001</v>
      </c>
      <c r="AC100">
        <f>VLOOKUP(F100,[2]numberFire_ppr_projections!$A:$B,2,FALSE)</f>
        <v>197.4</v>
      </c>
      <c r="AD100">
        <f>VLOOKUP(F100,[3]rotoballer_ppr_projections!$B:$G,6,FALSE)</f>
        <v>179</v>
      </c>
      <c r="AE100">
        <f>VLOOKUP(F100,[4]ppr!$B:$E,4,FALSE)</f>
        <v>180.78211253955428</v>
      </c>
      <c r="AF100">
        <f>VLOOKUP(F100,[4]half_ppr!$B:$E,4,FALSE)</f>
        <v>149.26700911555426</v>
      </c>
      <c r="AG100">
        <f>VLOOKUP(F100,[4]std!$B:$E,4,FALSE)</f>
        <v>117.75190569155427</v>
      </c>
      <c r="AH100">
        <f>IFERROR(VLOOKUP(F100,[5]actual_week11_ppr_stats!$A:$B,2,FALSE),0)</f>
        <v>99.9</v>
      </c>
    </row>
    <row r="101" spans="1:34" x14ac:dyDescent="0.2">
      <c r="A101">
        <v>100</v>
      </c>
      <c r="B101">
        <v>15316</v>
      </c>
      <c r="C101" t="s">
        <v>136</v>
      </c>
      <c r="D101" t="str" cm="1">
        <f t="array" ref="D101:E101">_xlfn.TEXTSPLIT(C101, ", ")</f>
        <v>Godwin</v>
      </c>
      <c r="E101" t="str">
        <v>Chris</v>
      </c>
      <c r="F101" t="str">
        <f t="shared" si="16"/>
        <v>Chris Godwin</v>
      </c>
      <c r="G101" t="s">
        <v>45</v>
      </c>
      <c r="H101" t="s">
        <v>9</v>
      </c>
      <c r="I101">
        <v>97.55</v>
      </c>
      <c r="J101">
        <v>73</v>
      </c>
      <c r="K101">
        <v>137</v>
      </c>
      <c r="L101">
        <f>VLOOKUP(G101,byes!$A:$B,2,FALSE)</f>
        <v>9</v>
      </c>
      <c r="M101">
        <f t="shared" si="17"/>
        <v>0</v>
      </c>
      <c r="N101">
        <f t="shared" si="18"/>
        <v>0</v>
      </c>
      <c r="O101">
        <f t="shared" si="19"/>
        <v>0</v>
      </c>
      <c r="P101">
        <f t="shared" si="20"/>
        <v>0</v>
      </c>
      <c r="Q101">
        <f t="shared" si="21"/>
        <v>1</v>
      </c>
      <c r="R101">
        <f t="shared" si="22"/>
        <v>0</v>
      </c>
      <c r="S101">
        <f t="shared" si="23"/>
        <v>0</v>
      </c>
      <c r="T101">
        <f t="shared" si="24"/>
        <v>0</v>
      </c>
      <c r="U101">
        <f t="shared" si="25"/>
        <v>0</v>
      </c>
      <c r="V101">
        <f t="shared" si="26"/>
        <v>0</v>
      </c>
      <c r="W101">
        <f t="shared" si="27"/>
        <v>0</v>
      </c>
      <c r="X101">
        <f t="shared" si="28"/>
        <v>1</v>
      </c>
      <c r="Y101">
        <f t="shared" si="29"/>
        <v>0</v>
      </c>
      <c r="Z101">
        <f t="shared" si="30"/>
        <v>1</v>
      </c>
      <c r="AA101">
        <f t="shared" si="31"/>
        <v>1</v>
      </c>
      <c r="AB101">
        <f>VLOOKUP(F101,[1]pff_ppr_projections!$B:$D,3,FALSE)</f>
        <v>197.7</v>
      </c>
      <c r="AC101">
        <f>VLOOKUP(F101,[2]numberFire_ppr_projections!$A:$B,2,FALSE)</f>
        <v>213.3</v>
      </c>
      <c r="AD101">
        <f>VLOOKUP(F101,[3]rotoballer_ppr_projections!$B:$G,6,FALSE)</f>
        <v>178</v>
      </c>
      <c r="AE101">
        <f>VLOOKUP(F101,[4]ppr!$B:$E,4,FALSE)</f>
        <v>184.56379121681539</v>
      </c>
      <c r="AF101">
        <f>VLOOKUP(F101,[4]half_ppr!$B:$E,4,FALSE)</f>
        <v>150.8103546372954</v>
      </c>
      <c r="AG101">
        <f>VLOOKUP(F101,[4]std!$B:$E,4,FALSE)</f>
        <v>117.05691805777538</v>
      </c>
      <c r="AH101">
        <f>IFERROR(VLOOKUP(F101,[5]actual_week11_ppr_stats!$A:$B,2,FALSE),0)</f>
        <v>11.2</v>
      </c>
    </row>
    <row r="102" spans="1:34" x14ac:dyDescent="0.2">
      <c r="A102">
        <v>101</v>
      </c>
      <c r="B102">
        <v>15238</v>
      </c>
      <c r="C102" t="s">
        <v>137</v>
      </c>
      <c r="D102" t="str" cm="1">
        <f t="array" ref="D102:E102">_xlfn.TEXTSPLIT(C102, ", ")</f>
        <v>Engram</v>
      </c>
      <c r="E102" t="str">
        <v>Evan</v>
      </c>
      <c r="F102" t="str">
        <f t="shared" si="16"/>
        <v>Evan Engram</v>
      </c>
      <c r="G102" t="s">
        <v>79</v>
      </c>
      <c r="H102" t="s">
        <v>47</v>
      </c>
      <c r="I102">
        <v>100.04</v>
      </c>
      <c r="J102">
        <v>73</v>
      </c>
      <c r="K102">
        <v>127</v>
      </c>
      <c r="L102">
        <f>VLOOKUP(G102,byes!$A:$B,2,FALSE)</f>
        <v>12</v>
      </c>
      <c r="M102">
        <f t="shared" si="17"/>
        <v>0</v>
      </c>
      <c r="N102">
        <f t="shared" si="18"/>
        <v>0</v>
      </c>
      <c r="O102">
        <f t="shared" si="19"/>
        <v>0</v>
      </c>
      <c r="P102">
        <f t="shared" si="20"/>
        <v>0</v>
      </c>
      <c r="Q102">
        <f t="shared" si="21"/>
        <v>0</v>
      </c>
      <c r="R102">
        <f t="shared" si="22"/>
        <v>0</v>
      </c>
      <c r="S102">
        <f t="shared" si="23"/>
        <v>0</v>
      </c>
      <c r="T102">
        <f t="shared" si="24"/>
        <v>1</v>
      </c>
      <c r="U102">
        <f t="shared" si="25"/>
        <v>0</v>
      </c>
      <c r="V102">
        <f t="shared" si="26"/>
        <v>0</v>
      </c>
      <c r="W102">
        <f t="shared" si="27"/>
        <v>0</v>
      </c>
      <c r="X102">
        <f t="shared" si="28"/>
        <v>0</v>
      </c>
      <c r="Y102">
        <f t="shared" si="29"/>
        <v>1</v>
      </c>
      <c r="Z102">
        <f t="shared" si="30"/>
        <v>1</v>
      </c>
      <c r="AA102">
        <v>1</v>
      </c>
      <c r="AB102">
        <f>VLOOKUP(F102,[1]pff_ppr_projections!$B:$D,3,FALSE)</f>
        <v>150.19999999999999</v>
      </c>
      <c r="AC102">
        <f>VLOOKUP(F102,[2]numberFire_ppr_projections!$A:$B,2,FALSE)</f>
        <v>134.19999999999999</v>
      </c>
      <c r="AD102">
        <f>VLOOKUP(F102,[3]rotoballer_ppr_projections!$B:$G,6,FALSE)</f>
        <v>163</v>
      </c>
      <c r="AE102">
        <f>VLOOKUP(F102,[4]ppr!$B:$E,4,FALSE)</f>
        <v>164.69375891136002</v>
      </c>
      <c r="AF102">
        <f>VLOOKUP(F102,[4]half_ppr!$B:$E,4,FALSE)</f>
        <v>131.59613855136001</v>
      </c>
      <c r="AG102">
        <f>VLOOKUP(F102,[4]std!$B:$E,4,FALSE)</f>
        <v>98.498518191360006</v>
      </c>
      <c r="AH102">
        <f>IFERROR(VLOOKUP(F102,[5]actual_week11_ppr_stats!$A:$B,2,FALSE),0)</f>
        <v>64.7</v>
      </c>
    </row>
    <row r="103" spans="1:34" x14ac:dyDescent="0.2">
      <c r="A103">
        <v>102</v>
      </c>
      <c r="B103">
        <v>18771</v>
      </c>
      <c r="C103" t="s">
        <v>138</v>
      </c>
      <c r="D103" t="str" cm="1">
        <f t="array" ref="D103:E103">_xlfn.TEXTSPLIT(C103, ", ")</f>
        <v>Williams</v>
      </c>
      <c r="E103" t="str">
        <v>Javonte</v>
      </c>
      <c r="F103" t="str">
        <f t="shared" si="16"/>
        <v>Javonte Williams</v>
      </c>
      <c r="G103" t="s">
        <v>16</v>
      </c>
      <c r="H103" t="s">
        <v>12</v>
      </c>
      <c r="I103">
        <v>101.53</v>
      </c>
      <c r="J103">
        <v>59</v>
      </c>
      <c r="K103">
        <v>125</v>
      </c>
      <c r="L103">
        <f>VLOOKUP(G103,byes!$A:$B,2,FALSE)</f>
        <v>10</v>
      </c>
      <c r="M103">
        <f t="shared" si="17"/>
        <v>0</v>
      </c>
      <c r="N103">
        <f t="shared" si="18"/>
        <v>0</v>
      </c>
      <c r="O103">
        <f t="shared" si="19"/>
        <v>0</v>
      </c>
      <c r="P103">
        <f t="shared" si="20"/>
        <v>0</v>
      </c>
      <c r="Q103">
        <f t="shared" si="21"/>
        <v>0</v>
      </c>
      <c r="R103">
        <f t="shared" si="22"/>
        <v>1</v>
      </c>
      <c r="S103">
        <f t="shared" si="23"/>
        <v>0</v>
      </c>
      <c r="T103">
        <f t="shared" si="24"/>
        <v>0</v>
      </c>
      <c r="U103">
        <f t="shared" si="25"/>
        <v>0</v>
      </c>
      <c r="V103">
        <f t="shared" si="26"/>
        <v>0</v>
      </c>
      <c r="W103">
        <f t="shared" si="27"/>
        <v>1</v>
      </c>
      <c r="X103">
        <f t="shared" si="28"/>
        <v>0</v>
      </c>
      <c r="Y103">
        <f t="shared" si="29"/>
        <v>0</v>
      </c>
      <c r="Z103">
        <f t="shared" si="30"/>
        <v>1</v>
      </c>
      <c r="AA103">
        <v>1</v>
      </c>
      <c r="AB103">
        <f>VLOOKUP(F103,[1]pff_ppr_projections!$B:$D,3,FALSE)</f>
        <v>158.19999999999999</v>
      </c>
      <c r="AC103">
        <f>VLOOKUP(F103,[2]numberFire_ppr_projections!$A:$B,2,FALSE)</f>
        <v>164.1</v>
      </c>
      <c r="AD103">
        <f>VLOOKUP(F103,[3]rotoballer_ppr_projections!$B:$G,6,FALSE)</f>
        <v>154</v>
      </c>
      <c r="AE103">
        <f>VLOOKUP(F103,[4]ppr!$B:$E,4,FALSE)</f>
        <v>185.50356012318377</v>
      </c>
      <c r="AF103">
        <f>VLOOKUP(F103,[4]half_ppr!$B:$E,4,FALSE)</f>
        <v>168.16628175097426</v>
      </c>
      <c r="AG103">
        <f>VLOOKUP(F103,[4]std!$B:$E,4,FALSE)</f>
        <v>150.82900337876475</v>
      </c>
      <c r="AH103">
        <f>IFERROR(VLOOKUP(F103,[5]actual_week11_ppr_stats!$A:$B,2,FALSE),0)</f>
        <v>170.2</v>
      </c>
    </row>
    <row r="104" spans="1:34" x14ac:dyDescent="0.2">
      <c r="A104">
        <v>103</v>
      </c>
      <c r="B104">
        <v>15227</v>
      </c>
      <c r="C104" t="s">
        <v>139</v>
      </c>
      <c r="D104" t="str" cm="1">
        <f t="array" ref="D104:E104">_xlfn.TEXTSPLIT(C104, ", ")</f>
        <v>Njoku</v>
      </c>
      <c r="E104" t="str">
        <v>David</v>
      </c>
      <c r="F104" t="str">
        <f t="shared" si="16"/>
        <v>David Njoku</v>
      </c>
      <c r="G104" t="s">
        <v>102</v>
      </c>
      <c r="H104" t="s">
        <v>47</v>
      </c>
      <c r="I104">
        <v>105.04</v>
      </c>
      <c r="J104">
        <v>81</v>
      </c>
      <c r="K104">
        <v>136</v>
      </c>
      <c r="L104">
        <f>VLOOKUP(G104,byes!$A:$B,2,FALSE)</f>
        <v>9</v>
      </c>
      <c r="M104">
        <f t="shared" si="17"/>
        <v>0</v>
      </c>
      <c r="N104">
        <f t="shared" si="18"/>
        <v>0</v>
      </c>
      <c r="O104">
        <f t="shared" si="19"/>
        <v>0</v>
      </c>
      <c r="P104">
        <f t="shared" si="20"/>
        <v>0</v>
      </c>
      <c r="Q104">
        <f t="shared" si="21"/>
        <v>1</v>
      </c>
      <c r="R104">
        <f t="shared" si="22"/>
        <v>0</v>
      </c>
      <c r="S104">
        <f t="shared" si="23"/>
        <v>0</v>
      </c>
      <c r="T104">
        <f t="shared" si="24"/>
        <v>0</v>
      </c>
      <c r="U104">
        <f t="shared" si="25"/>
        <v>0</v>
      </c>
      <c r="V104">
        <f t="shared" si="26"/>
        <v>0</v>
      </c>
      <c r="W104">
        <f t="shared" si="27"/>
        <v>0</v>
      </c>
      <c r="X104">
        <f t="shared" si="28"/>
        <v>0</v>
      </c>
      <c r="Y104">
        <f t="shared" si="29"/>
        <v>1</v>
      </c>
      <c r="Z104">
        <f t="shared" si="30"/>
        <v>1</v>
      </c>
      <c r="AA104">
        <v>1</v>
      </c>
      <c r="AB104">
        <f>VLOOKUP(F104,[1]pff_ppr_projections!$B:$D,3,FALSE)</f>
        <v>174.4</v>
      </c>
      <c r="AC104">
        <f>VLOOKUP(F104,[2]numberFire_ppr_projections!$A:$B,2,FALSE)</f>
        <v>182.3</v>
      </c>
      <c r="AD104">
        <f>VLOOKUP(F104,[3]rotoballer_ppr_projections!$B:$G,6,FALSE)</f>
        <v>173</v>
      </c>
      <c r="AE104">
        <f>VLOOKUP(F104,[4]ppr!$B:$E,4,FALSE)</f>
        <v>188.65224921564001</v>
      </c>
      <c r="AF104">
        <f>VLOOKUP(F104,[4]half_ppr!$B:$E,4,FALSE)</f>
        <v>150.81585747564</v>
      </c>
      <c r="AG104">
        <f>VLOOKUP(F104,[4]std!$B:$E,4,FALSE)</f>
        <v>112.97946573564002</v>
      </c>
      <c r="AH104">
        <f>IFERROR(VLOOKUP(F104,[5]actual_week11_ppr_stats!$A:$B,2,FALSE),0)</f>
        <v>76.8</v>
      </c>
    </row>
    <row r="105" spans="1:34" x14ac:dyDescent="0.2">
      <c r="A105">
        <v>104</v>
      </c>
      <c r="B105">
        <v>16132</v>
      </c>
      <c r="C105" t="s">
        <v>140</v>
      </c>
      <c r="D105" t="str" cm="1">
        <f t="array" ref="D105:E105">_xlfn.TEXTSPLIT(C105, ", ")</f>
        <v>Kirk</v>
      </c>
      <c r="E105" t="str">
        <v>Christian</v>
      </c>
      <c r="F105" t="str">
        <f t="shared" si="16"/>
        <v>Christian Kirk</v>
      </c>
      <c r="G105" t="s">
        <v>28</v>
      </c>
      <c r="H105" t="s">
        <v>9</v>
      </c>
      <c r="I105">
        <v>107.4</v>
      </c>
      <c r="J105">
        <v>85</v>
      </c>
      <c r="K105">
        <v>130</v>
      </c>
      <c r="L105">
        <f>VLOOKUP(G105,byes!$A:$B,2,FALSE)</f>
        <v>6</v>
      </c>
      <c r="M105">
        <f t="shared" si="17"/>
        <v>0</v>
      </c>
      <c r="N105">
        <f t="shared" si="18"/>
        <v>1</v>
      </c>
      <c r="O105">
        <f t="shared" si="19"/>
        <v>0</v>
      </c>
      <c r="P105">
        <f t="shared" si="20"/>
        <v>0</v>
      </c>
      <c r="Q105">
        <f t="shared" si="21"/>
        <v>0</v>
      </c>
      <c r="R105">
        <f t="shared" si="22"/>
        <v>0</v>
      </c>
      <c r="S105">
        <f t="shared" si="23"/>
        <v>0</v>
      </c>
      <c r="T105">
        <f t="shared" si="24"/>
        <v>0</v>
      </c>
      <c r="U105">
        <f t="shared" si="25"/>
        <v>0</v>
      </c>
      <c r="V105">
        <f t="shared" si="26"/>
        <v>0</v>
      </c>
      <c r="W105">
        <f t="shared" si="27"/>
        <v>0</v>
      </c>
      <c r="X105">
        <f t="shared" si="28"/>
        <v>1</v>
      </c>
      <c r="Y105">
        <f t="shared" si="29"/>
        <v>0</v>
      </c>
      <c r="Z105">
        <f t="shared" si="30"/>
        <v>1</v>
      </c>
      <c r="AA105">
        <f t="shared" si="31"/>
        <v>1</v>
      </c>
      <c r="AB105">
        <f>VLOOKUP(F105,[1]pff_ppr_projections!$B:$D,3,FALSE)</f>
        <v>191.8</v>
      </c>
      <c r="AC105">
        <f>VLOOKUP(F105,[2]numberFire_ppr_projections!$A:$B,2,FALSE)</f>
        <v>126.7</v>
      </c>
      <c r="AD105">
        <f>VLOOKUP(F105,[3]rotoballer_ppr_projections!$B:$G,6,FALSE)</f>
        <v>140</v>
      </c>
      <c r="AE105">
        <f>VLOOKUP(F105,[4]ppr!$B:$E,4,FALSE)</f>
        <v>163.87541137294215</v>
      </c>
      <c r="AF105">
        <f>VLOOKUP(F105,[4]half_ppr!$B:$E,4,FALSE)</f>
        <v>132.69974435044219</v>
      </c>
      <c r="AG105">
        <f>VLOOKUP(F105,[4]std!$B:$E,4,FALSE)</f>
        <v>101.52407732794218</v>
      </c>
      <c r="AH105">
        <f>IFERROR(VLOOKUP(F105,[5]actual_week11_ppr_stats!$A:$B,2,FALSE),0)</f>
        <v>46.8</v>
      </c>
    </row>
    <row r="106" spans="1:34" x14ac:dyDescent="0.2">
      <c r="A106">
        <v>105</v>
      </c>
      <c r="B106">
        <v>22077</v>
      </c>
      <c r="C106" t="s">
        <v>141</v>
      </c>
      <c r="D106" t="str" cm="1">
        <f t="array" ref="D106:E106">_xlfn.TEXTSPLIT(C106, ", ")</f>
        <v>Skattebo</v>
      </c>
      <c r="E106" t="str">
        <v>Cam</v>
      </c>
      <c r="F106" t="str">
        <f t="shared" si="16"/>
        <v>Cam Skattebo</v>
      </c>
      <c r="G106" t="s">
        <v>24</v>
      </c>
      <c r="H106" t="s">
        <v>12</v>
      </c>
      <c r="I106">
        <v>108.63</v>
      </c>
      <c r="J106">
        <v>93</v>
      </c>
      <c r="K106">
        <v>130</v>
      </c>
      <c r="L106">
        <f>VLOOKUP(G106,byes!$A:$B,2,FALSE)</f>
        <v>14</v>
      </c>
      <c r="M106">
        <f t="shared" si="17"/>
        <v>0</v>
      </c>
      <c r="N106">
        <f t="shared" si="18"/>
        <v>0</v>
      </c>
      <c r="O106">
        <f t="shared" si="19"/>
        <v>0</v>
      </c>
      <c r="P106">
        <f t="shared" si="20"/>
        <v>0</v>
      </c>
      <c r="Q106">
        <f t="shared" si="21"/>
        <v>0</v>
      </c>
      <c r="R106">
        <f t="shared" si="22"/>
        <v>0</v>
      </c>
      <c r="S106">
        <f t="shared" si="23"/>
        <v>0</v>
      </c>
      <c r="T106">
        <f t="shared" si="24"/>
        <v>0</v>
      </c>
      <c r="U106">
        <f t="shared" si="25"/>
        <v>1</v>
      </c>
      <c r="V106">
        <f t="shared" si="26"/>
        <v>0</v>
      </c>
      <c r="W106">
        <f t="shared" si="27"/>
        <v>1</v>
      </c>
      <c r="X106">
        <f t="shared" si="28"/>
        <v>0</v>
      </c>
      <c r="Y106">
        <f t="shared" si="29"/>
        <v>0</v>
      </c>
      <c r="Z106">
        <f t="shared" si="30"/>
        <v>1</v>
      </c>
      <c r="AA106">
        <v>1</v>
      </c>
      <c r="AB106">
        <f>VLOOKUP(F106,[1]pff_ppr_projections!$B:$D,3,FALSE)</f>
        <v>157.6</v>
      </c>
      <c r="AC106">
        <f>VLOOKUP(F106,[2]numberFire_ppr_projections!$A:$B,2,FALSE)</f>
        <v>114.4</v>
      </c>
      <c r="AD106" s="1">
        <f>AVERAGE(AB106,AC106,AE106)</f>
        <v>143.21863394543979</v>
      </c>
      <c r="AE106">
        <f>VLOOKUP(F106,[4]ppr!$B:$E,4,FALSE)</f>
        <v>157.65590183631934</v>
      </c>
      <c r="AF106">
        <f>VLOOKUP(F106,[4]half_ppr!$B:$E,4,FALSE)</f>
        <v>142.04920704759937</v>
      </c>
      <c r="AG106">
        <f>VLOOKUP(F106,[4]std!$B:$E,4,FALSE)</f>
        <v>126.44251225887936</v>
      </c>
      <c r="AH106">
        <f>IFERROR(VLOOKUP(F106,[5]actual_week11_ppr_stats!$A:$B,2,FALSE),0)</f>
        <v>127.7</v>
      </c>
    </row>
    <row r="107" spans="1:34" x14ac:dyDescent="0.2">
      <c r="A107">
        <v>106</v>
      </c>
      <c r="B107">
        <v>21132</v>
      </c>
      <c r="C107" t="s">
        <v>142</v>
      </c>
      <c r="D107" t="str" cm="1">
        <f t="array" ref="D107:E107">_xlfn.TEXTSPLIT(C107, ", ")</f>
        <v>Allen</v>
      </c>
      <c r="E107" t="str">
        <v>Braelon</v>
      </c>
      <c r="F107" t="str">
        <f t="shared" si="16"/>
        <v>Braelon Allen</v>
      </c>
      <c r="G107" t="s">
        <v>62</v>
      </c>
      <c r="H107" t="s">
        <v>12</v>
      </c>
      <c r="I107">
        <v>111.6</v>
      </c>
      <c r="J107">
        <v>85</v>
      </c>
      <c r="K107">
        <v>141</v>
      </c>
      <c r="L107">
        <f>VLOOKUP(G107,byes!$A:$B,2,FALSE)</f>
        <v>9</v>
      </c>
      <c r="M107">
        <f t="shared" si="17"/>
        <v>0</v>
      </c>
      <c r="N107">
        <f t="shared" si="18"/>
        <v>0</v>
      </c>
      <c r="O107">
        <f t="shared" si="19"/>
        <v>0</v>
      </c>
      <c r="P107">
        <f t="shared" si="20"/>
        <v>0</v>
      </c>
      <c r="Q107">
        <f t="shared" si="21"/>
        <v>1</v>
      </c>
      <c r="R107">
        <f t="shared" si="22"/>
        <v>0</v>
      </c>
      <c r="S107">
        <f t="shared" si="23"/>
        <v>0</v>
      </c>
      <c r="T107">
        <f t="shared" si="24"/>
        <v>0</v>
      </c>
      <c r="U107">
        <f t="shared" si="25"/>
        <v>0</v>
      </c>
      <c r="V107">
        <f t="shared" si="26"/>
        <v>0</v>
      </c>
      <c r="W107">
        <f t="shared" si="27"/>
        <v>1</v>
      </c>
      <c r="X107">
        <f t="shared" si="28"/>
        <v>0</v>
      </c>
      <c r="Y107">
        <f t="shared" si="29"/>
        <v>0</v>
      </c>
      <c r="Z107">
        <f t="shared" si="30"/>
        <v>1</v>
      </c>
      <c r="AA107">
        <v>1</v>
      </c>
      <c r="AB107">
        <f>VLOOKUP(F107,[1]pff_ppr_projections!$B:$D,3,FALSE)</f>
        <v>83.7</v>
      </c>
      <c r="AC107" s="1">
        <f>AVERAGE(AB107,AD107,AE107)</f>
        <v>87.874935437876275</v>
      </c>
      <c r="AD107">
        <f>VLOOKUP(F107,[3]rotoballer_ppr_projections!$B:$G,6,FALSE)</f>
        <v>98</v>
      </c>
      <c r="AE107">
        <f>VLOOKUP(F107,[4]ppr!$B:$E,4,FALSE)</f>
        <v>81.924806313628864</v>
      </c>
      <c r="AF107">
        <f>VLOOKUP(F107,[4]half_ppr!$B:$E,4,FALSE)</f>
        <v>79.999019242966241</v>
      </c>
      <c r="AG107">
        <f>VLOOKUP(F107,[4]std!$B:$E,4,FALSE)</f>
        <v>78.073232172303605</v>
      </c>
      <c r="AH107">
        <f>IFERROR(VLOOKUP(F107,[5]actual_week11_ppr_stats!$A:$B,2,FALSE),0)</f>
        <v>17.3</v>
      </c>
    </row>
    <row r="108" spans="1:34" x14ac:dyDescent="0.2">
      <c r="A108">
        <v>107</v>
      </c>
      <c r="B108">
        <v>18169</v>
      </c>
      <c r="C108" t="s">
        <v>143</v>
      </c>
      <c r="D108" t="str" cm="1">
        <f t="array" ref="D108:E108">_xlfn.TEXTSPLIT(C108, ", ")</f>
        <v>Mooney</v>
      </c>
      <c r="E108" t="str">
        <v>Darnell</v>
      </c>
      <c r="F108" t="str">
        <f t="shared" si="16"/>
        <v>Darnell Mooney</v>
      </c>
      <c r="G108" t="s">
        <v>11</v>
      </c>
      <c r="H108" t="s">
        <v>9</v>
      </c>
      <c r="I108">
        <v>111.84</v>
      </c>
      <c r="J108">
        <v>87</v>
      </c>
      <c r="K108">
        <v>138</v>
      </c>
      <c r="L108">
        <f>VLOOKUP(G108,byes!$A:$B,2,FALSE)</f>
        <v>5</v>
      </c>
      <c r="M108">
        <f t="shared" si="17"/>
        <v>1</v>
      </c>
      <c r="N108">
        <f t="shared" si="18"/>
        <v>0</v>
      </c>
      <c r="O108">
        <f t="shared" si="19"/>
        <v>0</v>
      </c>
      <c r="P108">
        <f t="shared" si="20"/>
        <v>0</v>
      </c>
      <c r="Q108">
        <f t="shared" si="21"/>
        <v>0</v>
      </c>
      <c r="R108">
        <f t="shared" si="22"/>
        <v>0</v>
      </c>
      <c r="S108">
        <f t="shared" si="23"/>
        <v>0</v>
      </c>
      <c r="T108">
        <f t="shared" si="24"/>
        <v>0</v>
      </c>
      <c r="U108">
        <f t="shared" si="25"/>
        <v>0</v>
      </c>
      <c r="V108">
        <f t="shared" si="26"/>
        <v>0</v>
      </c>
      <c r="W108">
        <f t="shared" si="27"/>
        <v>0</v>
      </c>
      <c r="X108">
        <f t="shared" si="28"/>
        <v>1</v>
      </c>
      <c r="Y108">
        <f t="shared" si="29"/>
        <v>0</v>
      </c>
      <c r="Z108">
        <f t="shared" si="30"/>
        <v>1</v>
      </c>
      <c r="AA108">
        <v>1</v>
      </c>
      <c r="AB108">
        <f>VLOOKUP(F108,[1]pff_ppr_projections!$B:$D,3,FALSE)</f>
        <v>182</v>
      </c>
      <c r="AC108">
        <f>VLOOKUP(F108,[2]numberFire_ppr_projections!$A:$B,2,FALSE)</f>
        <v>172.2</v>
      </c>
      <c r="AD108">
        <f>VLOOKUP(F108,[3]rotoballer_ppr_projections!$B:$G,6,FALSE)</f>
        <v>166</v>
      </c>
      <c r="AE108">
        <f>VLOOKUP(F108,[4]ppr!$B:$E,4,FALSE)</f>
        <v>193.75199638768513</v>
      </c>
      <c r="AF108">
        <f>VLOOKUP(F108,[4]half_ppr!$B:$E,4,FALSE)</f>
        <v>160.04427259024513</v>
      </c>
      <c r="AG108">
        <f>VLOOKUP(F108,[4]std!$B:$E,4,FALSE)</f>
        <v>126.33654879280513</v>
      </c>
      <c r="AH108">
        <f>IFERROR(VLOOKUP(F108,[5]actual_week11_ppr_stats!$A:$B,2,FALSE),0)</f>
        <v>38.4</v>
      </c>
    </row>
    <row r="109" spans="1:34" x14ac:dyDescent="0.2">
      <c r="A109">
        <v>108</v>
      </c>
      <c r="B109">
        <v>20293</v>
      </c>
      <c r="C109" t="s">
        <v>257</v>
      </c>
      <c r="D109" t="str" cm="1">
        <f t="array" ref="D109:E109">_xlfn.TEXTSPLIT(C109, ", ")</f>
        <v>Mims Jr.</v>
      </c>
      <c r="E109" t="str">
        <v>Marvin</v>
      </c>
      <c r="F109" t="str">
        <f t="shared" si="16"/>
        <v>Marvin Mims Jr</v>
      </c>
      <c r="G109" t="s">
        <v>79</v>
      </c>
      <c r="H109" t="s">
        <v>9</v>
      </c>
      <c r="I109">
        <v>113.29</v>
      </c>
      <c r="J109">
        <v>79</v>
      </c>
      <c r="K109">
        <v>145</v>
      </c>
      <c r="L109">
        <f>VLOOKUP(G109,byes!$A:$B,2,FALSE)</f>
        <v>12</v>
      </c>
      <c r="M109">
        <f t="shared" si="17"/>
        <v>0</v>
      </c>
      <c r="N109">
        <f t="shared" si="18"/>
        <v>0</v>
      </c>
      <c r="O109">
        <f t="shared" si="19"/>
        <v>0</v>
      </c>
      <c r="P109">
        <f t="shared" si="20"/>
        <v>0</v>
      </c>
      <c r="Q109">
        <f t="shared" si="21"/>
        <v>0</v>
      </c>
      <c r="R109">
        <f t="shared" si="22"/>
        <v>0</v>
      </c>
      <c r="S109">
        <f t="shared" si="23"/>
        <v>0</v>
      </c>
      <c r="T109">
        <f t="shared" si="24"/>
        <v>1</v>
      </c>
      <c r="U109">
        <f t="shared" si="25"/>
        <v>0</v>
      </c>
      <c r="V109">
        <f t="shared" si="26"/>
        <v>0</v>
      </c>
      <c r="W109">
        <f t="shared" si="27"/>
        <v>0</v>
      </c>
      <c r="X109">
        <f t="shared" si="28"/>
        <v>1</v>
      </c>
      <c r="Y109">
        <f t="shared" si="29"/>
        <v>0</v>
      </c>
      <c r="Z109">
        <f t="shared" si="30"/>
        <v>1</v>
      </c>
      <c r="AA109">
        <f t="shared" si="31"/>
        <v>1</v>
      </c>
      <c r="AB109">
        <f>VLOOKUP(F109,[1]pff_ppr_projections!$B:$D,3,FALSE)</f>
        <v>158.5</v>
      </c>
      <c r="AC109">
        <f>VLOOKUP(F109,[2]numberFire_ppr_projections!$A:$B,2,FALSE)</f>
        <v>198.9</v>
      </c>
      <c r="AD109">
        <f>VLOOKUP(F109,[3]rotoballer_ppr_projections!$B:$G,6,FALSE)</f>
        <v>154</v>
      </c>
      <c r="AE109">
        <f>VLOOKUP(F109,[4]ppr!$B:$E,4,FALSE)</f>
        <v>189.48898230808004</v>
      </c>
      <c r="AF109">
        <f>VLOOKUP(F109,[4]half_ppr!$B:$E,4,FALSE)</f>
        <v>155.46941636408002</v>
      </c>
      <c r="AG109">
        <f>VLOOKUP(F109,[4]std!$B:$E,4,FALSE)</f>
        <v>121.44985042008001</v>
      </c>
      <c r="AH109">
        <f>IFERROR(VLOOKUP(F109,[5]actual_week11_ppr_stats!$A:$B,2,FALSE),0)</f>
        <v>63</v>
      </c>
    </row>
    <row r="110" spans="1:34" x14ac:dyDescent="0.2">
      <c r="A110">
        <v>109</v>
      </c>
      <c r="B110">
        <v>20312</v>
      </c>
      <c r="C110" t="s">
        <v>144</v>
      </c>
      <c r="D110" t="str" cm="1">
        <f t="array" ref="D110:E110">_xlfn.TEXTSPLIT(C110, ", ")</f>
        <v>Kraft</v>
      </c>
      <c r="E110" t="str">
        <v>Tucker</v>
      </c>
      <c r="F110" t="str">
        <f t="shared" si="16"/>
        <v>Tucker Kraft</v>
      </c>
      <c r="G110" t="s">
        <v>40</v>
      </c>
      <c r="H110" t="s">
        <v>47</v>
      </c>
      <c r="I110">
        <v>113.57</v>
      </c>
      <c r="J110">
        <v>79</v>
      </c>
      <c r="K110">
        <v>141</v>
      </c>
      <c r="L110">
        <f>VLOOKUP(G110,byes!$A:$B,2,FALSE)</f>
        <v>5</v>
      </c>
      <c r="M110">
        <f t="shared" si="17"/>
        <v>1</v>
      </c>
      <c r="N110">
        <f t="shared" si="18"/>
        <v>0</v>
      </c>
      <c r="O110">
        <f t="shared" si="19"/>
        <v>0</v>
      </c>
      <c r="P110">
        <f t="shared" si="20"/>
        <v>0</v>
      </c>
      <c r="Q110">
        <f t="shared" si="21"/>
        <v>0</v>
      </c>
      <c r="R110">
        <f t="shared" si="22"/>
        <v>0</v>
      </c>
      <c r="S110">
        <f t="shared" si="23"/>
        <v>0</v>
      </c>
      <c r="T110">
        <f t="shared" si="24"/>
        <v>0</v>
      </c>
      <c r="U110">
        <f t="shared" si="25"/>
        <v>0</v>
      </c>
      <c r="V110">
        <f t="shared" si="26"/>
        <v>0</v>
      </c>
      <c r="W110">
        <f t="shared" si="27"/>
        <v>0</v>
      </c>
      <c r="X110">
        <f t="shared" si="28"/>
        <v>0</v>
      </c>
      <c r="Y110">
        <f t="shared" si="29"/>
        <v>1</v>
      </c>
      <c r="Z110">
        <f t="shared" si="30"/>
        <v>1</v>
      </c>
      <c r="AA110">
        <v>1</v>
      </c>
      <c r="AB110">
        <f>VLOOKUP(F110,[1]pff_ppr_projections!$B:$D,3,FALSE)</f>
        <v>153.19999999999999</v>
      </c>
      <c r="AC110">
        <f>VLOOKUP(F110,[2]numberFire_ppr_projections!$A:$B,2,FALSE)</f>
        <v>121.6</v>
      </c>
      <c r="AD110" s="1">
        <f>AVERAGE(AB110,AC110,AE110)</f>
        <v>146.73362056921599</v>
      </c>
      <c r="AE110">
        <f>VLOOKUP(F110,[4]ppr!$B:$E,4,FALSE)</f>
        <v>165.400861707648</v>
      </c>
      <c r="AF110">
        <f>VLOOKUP(F110,[4]half_ppr!$B:$E,4,FALSE)</f>
        <v>135.43693748524802</v>
      </c>
      <c r="AG110">
        <f>VLOOKUP(F110,[4]std!$B:$E,4,FALSE)</f>
        <v>105.47301326284801</v>
      </c>
      <c r="AH110">
        <f>IFERROR(VLOOKUP(F110,[5]actual_week11_ppr_stats!$A:$B,2,FALSE),0)</f>
        <v>117.2</v>
      </c>
    </row>
    <row r="111" spans="1:34" x14ac:dyDescent="0.2">
      <c r="A111">
        <v>110</v>
      </c>
      <c r="B111">
        <v>21135</v>
      </c>
      <c r="C111" t="s">
        <v>145</v>
      </c>
      <c r="D111" t="str" cm="1">
        <f t="array" ref="D111:E111">_xlfn.TEXTSPLIT(C111, ", ")</f>
        <v>Benson</v>
      </c>
      <c r="E111" t="str">
        <v>Trey</v>
      </c>
      <c r="F111" t="str">
        <f t="shared" si="16"/>
        <v>Trey Benson</v>
      </c>
      <c r="G111" t="s">
        <v>55</v>
      </c>
      <c r="H111" t="s">
        <v>12</v>
      </c>
      <c r="I111">
        <v>114.13</v>
      </c>
      <c r="J111">
        <v>90</v>
      </c>
      <c r="K111">
        <v>139</v>
      </c>
      <c r="L111">
        <f>VLOOKUP(G111,byes!$A:$B,2,FALSE)</f>
        <v>8</v>
      </c>
      <c r="M111">
        <f t="shared" si="17"/>
        <v>0</v>
      </c>
      <c r="N111">
        <f t="shared" si="18"/>
        <v>0</v>
      </c>
      <c r="O111">
        <f t="shared" si="19"/>
        <v>0</v>
      </c>
      <c r="P111">
        <f t="shared" si="20"/>
        <v>1</v>
      </c>
      <c r="Q111">
        <f t="shared" si="21"/>
        <v>0</v>
      </c>
      <c r="R111">
        <f t="shared" si="22"/>
        <v>0</v>
      </c>
      <c r="S111">
        <f t="shared" si="23"/>
        <v>0</v>
      </c>
      <c r="T111">
        <f t="shared" si="24"/>
        <v>0</v>
      </c>
      <c r="U111">
        <f t="shared" si="25"/>
        <v>0</v>
      </c>
      <c r="V111">
        <f t="shared" si="26"/>
        <v>0</v>
      </c>
      <c r="W111">
        <f t="shared" si="27"/>
        <v>1</v>
      </c>
      <c r="X111">
        <f t="shared" si="28"/>
        <v>0</v>
      </c>
      <c r="Y111">
        <f t="shared" si="29"/>
        <v>0</v>
      </c>
      <c r="Z111">
        <f t="shared" si="30"/>
        <v>1</v>
      </c>
      <c r="AA111">
        <v>1</v>
      </c>
      <c r="AB111">
        <f>VLOOKUP(F111,[1]pff_ppr_projections!$B:$D,3,FALSE)</f>
        <v>108.5</v>
      </c>
      <c r="AC111">
        <f>VLOOKUP(F111,[2]numberFire_ppr_projections!$A:$B,2,FALSE)</f>
        <v>101.5</v>
      </c>
      <c r="AD111">
        <f>VLOOKUP(F111,[3]rotoballer_ppr_projections!$B:$G,6,FALSE)</f>
        <v>112</v>
      </c>
      <c r="AE111">
        <f>VLOOKUP(F111,[4]ppr!$B:$E,4,FALSE)</f>
        <v>97.52629962457948</v>
      </c>
      <c r="AF111">
        <f>VLOOKUP(F111,[4]half_ppr!$B:$E,4,FALSE)</f>
        <v>92.324530219960906</v>
      </c>
      <c r="AG111">
        <f>VLOOKUP(F111,[4]std!$B:$E,4,FALSE)</f>
        <v>87.12276081534236</v>
      </c>
      <c r="AH111">
        <f>IFERROR(VLOOKUP(F111,[5]actual_week11_ppr_stats!$A:$B,2,FALSE),0)</f>
        <v>35.4</v>
      </c>
    </row>
    <row r="112" spans="1:34" x14ac:dyDescent="0.2">
      <c r="A112">
        <v>111</v>
      </c>
      <c r="B112">
        <v>20311</v>
      </c>
      <c r="C112" t="s">
        <v>146</v>
      </c>
      <c r="D112" t="str" cm="1">
        <f t="array" ref="D112:E112">_xlfn.TEXTSPLIT(C112, ", ")</f>
        <v>Reed</v>
      </c>
      <c r="E112" t="str">
        <v>Jayden</v>
      </c>
      <c r="F112" t="str">
        <f t="shared" si="16"/>
        <v>Jayden Reed</v>
      </c>
      <c r="G112" t="s">
        <v>40</v>
      </c>
      <c r="H112" t="s">
        <v>9</v>
      </c>
      <c r="I112">
        <v>115.14</v>
      </c>
      <c r="J112">
        <v>88</v>
      </c>
      <c r="K112">
        <v>155</v>
      </c>
      <c r="L112">
        <f>VLOOKUP(G112,byes!$A:$B,2,FALSE)</f>
        <v>5</v>
      </c>
      <c r="M112">
        <f t="shared" si="17"/>
        <v>1</v>
      </c>
      <c r="N112">
        <f t="shared" si="18"/>
        <v>0</v>
      </c>
      <c r="O112">
        <f t="shared" si="19"/>
        <v>0</v>
      </c>
      <c r="P112">
        <f t="shared" si="20"/>
        <v>0</v>
      </c>
      <c r="Q112">
        <f t="shared" si="21"/>
        <v>0</v>
      </c>
      <c r="R112">
        <f t="shared" si="22"/>
        <v>0</v>
      </c>
      <c r="S112">
        <f t="shared" si="23"/>
        <v>0</v>
      </c>
      <c r="T112">
        <f t="shared" si="24"/>
        <v>0</v>
      </c>
      <c r="U112">
        <f t="shared" si="25"/>
        <v>0</v>
      </c>
      <c r="V112">
        <f t="shared" si="26"/>
        <v>0</v>
      </c>
      <c r="W112">
        <f t="shared" si="27"/>
        <v>0</v>
      </c>
      <c r="X112">
        <f t="shared" si="28"/>
        <v>1</v>
      </c>
      <c r="Y112">
        <f t="shared" si="29"/>
        <v>0</v>
      </c>
      <c r="Z112">
        <f t="shared" si="30"/>
        <v>1</v>
      </c>
      <c r="AA112">
        <v>1</v>
      </c>
      <c r="AB112">
        <f>VLOOKUP(F112,[1]pff_ppr_projections!$B:$D,3,FALSE)</f>
        <v>187.7</v>
      </c>
      <c r="AC112">
        <f>VLOOKUP(F112,[2]numberFire_ppr_projections!$A:$B,2,FALSE)</f>
        <v>184.6</v>
      </c>
      <c r="AD112">
        <f>VLOOKUP(F112,[3]rotoballer_ppr_projections!$B:$G,6,FALSE)</f>
        <v>163</v>
      </c>
      <c r="AE112">
        <f>VLOOKUP(F112,[4]ppr!$B:$E,4,FALSE)</f>
        <v>170.6021273036134</v>
      </c>
      <c r="AF112">
        <f>VLOOKUP(F112,[4]half_ppr!$B:$E,4,FALSE)</f>
        <v>143.73005831481342</v>
      </c>
      <c r="AG112">
        <f>VLOOKUP(F112,[4]std!$B:$E,4,FALSE)</f>
        <v>116.85798932601341</v>
      </c>
      <c r="AH112">
        <f>IFERROR(VLOOKUP(F112,[5]actual_week11_ppr_stats!$A:$B,2,FALSE),0)</f>
        <v>13.5</v>
      </c>
    </row>
    <row r="113" spans="1:34" x14ac:dyDescent="0.2">
      <c r="A113">
        <v>112</v>
      </c>
      <c r="B113">
        <v>15896</v>
      </c>
      <c r="C113" t="s">
        <v>147</v>
      </c>
      <c r="D113" t="str" cm="1">
        <f t="array" ref="D113:E113">_xlfn.TEXTSPLIT(C113, ", ")</f>
        <v>Ekeler</v>
      </c>
      <c r="E113" t="str">
        <v>Austin</v>
      </c>
      <c r="F113" t="str">
        <f t="shared" si="16"/>
        <v>Austin Ekeler</v>
      </c>
      <c r="G113" t="s">
        <v>71</v>
      </c>
      <c r="H113" t="s">
        <v>12</v>
      </c>
      <c r="I113">
        <v>116.16</v>
      </c>
      <c r="J113">
        <v>78</v>
      </c>
      <c r="K113">
        <v>145</v>
      </c>
      <c r="L113">
        <f>VLOOKUP(G113,byes!$A:$B,2,FALSE)</f>
        <v>12</v>
      </c>
      <c r="M113">
        <f t="shared" si="17"/>
        <v>0</v>
      </c>
      <c r="N113">
        <f t="shared" si="18"/>
        <v>0</v>
      </c>
      <c r="O113">
        <f t="shared" si="19"/>
        <v>0</v>
      </c>
      <c r="P113">
        <f t="shared" si="20"/>
        <v>0</v>
      </c>
      <c r="Q113">
        <f t="shared" si="21"/>
        <v>0</v>
      </c>
      <c r="R113">
        <f t="shared" si="22"/>
        <v>0</v>
      </c>
      <c r="S113">
        <f t="shared" si="23"/>
        <v>0</v>
      </c>
      <c r="T113">
        <f t="shared" si="24"/>
        <v>1</v>
      </c>
      <c r="U113">
        <f t="shared" si="25"/>
        <v>0</v>
      </c>
      <c r="V113">
        <f t="shared" si="26"/>
        <v>0</v>
      </c>
      <c r="W113">
        <f t="shared" si="27"/>
        <v>1</v>
      </c>
      <c r="X113">
        <f t="shared" si="28"/>
        <v>0</v>
      </c>
      <c r="Y113">
        <f t="shared" si="29"/>
        <v>0</v>
      </c>
      <c r="Z113">
        <f t="shared" si="30"/>
        <v>1</v>
      </c>
      <c r="AA113">
        <f t="shared" si="31"/>
        <v>1</v>
      </c>
      <c r="AB113">
        <f>VLOOKUP(F113,[1]pff_ppr_projections!$B:$D,3,FALSE)</f>
        <v>147.6</v>
      </c>
      <c r="AC113">
        <f>VLOOKUP(F113,[2]numberFire_ppr_projections!$A:$B,2,FALSE)</f>
        <v>180.4</v>
      </c>
      <c r="AD113" s="1">
        <f>AVERAGE(AB113,AC113,AE113)</f>
        <v>165.67411362875046</v>
      </c>
      <c r="AE113">
        <f>VLOOKUP(F113,[4]ppr!$B:$E,4,FALSE)</f>
        <v>169.02234088625144</v>
      </c>
      <c r="AF113">
        <f>VLOOKUP(F113,[4]half_ppr!$B:$E,4,FALSE)</f>
        <v>145.34541483939773</v>
      </c>
      <c r="AG113">
        <f>VLOOKUP(F113,[4]std!$B:$E,4,FALSE)</f>
        <v>121.66848879254404</v>
      </c>
      <c r="AH113">
        <f>IFERROR(VLOOKUP(F113,[5]actual_week11_ppr_stats!$A:$B,2,FALSE),0)</f>
        <v>13.1</v>
      </c>
    </row>
    <row r="114" spans="1:34" x14ac:dyDescent="0.2">
      <c r="A114">
        <v>113</v>
      </c>
      <c r="B114">
        <v>22106</v>
      </c>
      <c r="C114" t="s">
        <v>148</v>
      </c>
      <c r="D114" t="str" cm="1">
        <f t="array" ref="D114:E114">_xlfn.TEXTSPLIT(C114, ", ")</f>
        <v>Tuten</v>
      </c>
      <c r="E114" t="str">
        <v>Bhayshul</v>
      </c>
      <c r="F114" t="str">
        <f t="shared" si="16"/>
        <v>Bhayshul Tuten</v>
      </c>
      <c r="G114" t="s">
        <v>26</v>
      </c>
      <c r="H114" t="s">
        <v>12</v>
      </c>
      <c r="I114">
        <v>117.1</v>
      </c>
      <c r="J114">
        <v>96</v>
      </c>
      <c r="K114">
        <v>144</v>
      </c>
      <c r="L114">
        <f>VLOOKUP(G114,byes!$A:$B,2,FALSE)</f>
        <v>8</v>
      </c>
      <c r="M114">
        <f t="shared" si="17"/>
        <v>0</v>
      </c>
      <c r="N114">
        <f t="shared" si="18"/>
        <v>0</v>
      </c>
      <c r="O114">
        <f t="shared" si="19"/>
        <v>0</v>
      </c>
      <c r="P114">
        <f t="shared" si="20"/>
        <v>1</v>
      </c>
      <c r="Q114">
        <f t="shared" si="21"/>
        <v>0</v>
      </c>
      <c r="R114">
        <f t="shared" si="22"/>
        <v>0</v>
      </c>
      <c r="S114">
        <f t="shared" si="23"/>
        <v>0</v>
      </c>
      <c r="T114">
        <f t="shared" si="24"/>
        <v>0</v>
      </c>
      <c r="U114">
        <f t="shared" si="25"/>
        <v>0</v>
      </c>
      <c r="V114">
        <f t="shared" si="26"/>
        <v>0</v>
      </c>
      <c r="W114">
        <f t="shared" si="27"/>
        <v>1</v>
      </c>
      <c r="X114">
        <f t="shared" si="28"/>
        <v>0</v>
      </c>
      <c r="Y114">
        <f t="shared" si="29"/>
        <v>0</v>
      </c>
      <c r="Z114">
        <f t="shared" si="30"/>
        <v>1</v>
      </c>
      <c r="AA114">
        <v>1</v>
      </c>
      <c r="AB114">
        <f>VLOOKUP(F114,[1]pff_ppr_projections!$B:$D,3,FALSE)</f>
        <v>62.9</v>
      </c>
      <c r="AC114" s="1">
        <f>AVERAGE(AB114,AD114,AE114)</f>
        <v>77.001023106129651</v>
      </c>
      <c r="AD114">
        <f>VLOOKUP(F114,[3]rotoballer_ppr_projections!$B:$G,6,FALSE)</f>
        <v>95</v>
      </c>
      <c r="AE114">
        <f>VLOOKUP(F114,[4]ppr!$B:$E,4,FALSE)</f>
        <v>73.103069318388933</v>
      </c>
      <c r="AF114">
        <f>VLOOKUP(F114,[4]half_ppr!$B:$E,4,FALSE)</f>
        <v>64.660213592468935</v>
      </c>
      <c r="AG114">
        <f>VLOOKUP(F114,[4]std!$B:$E,4,FALSE)</f>
        <v>56.217357866548937</v>
      </c>
      <c r="AH114">
        <f>IFERROR(VLOOKUP(F114,[5]actual_week11_ppr_stats!$A:$B,2,FALSE),0)</f>
        <v>61.9</v>
      </c>
    </row>
    <row r="115" spans="1:34" x14ac:dyDescent="0.2">
      <c r="A115">
        <v>114</v>
      </c>
      <c r="B115">
        <v>19468</v>
      </c>
      <c r="C115" t="s">
        <v>149</v>
      </c>
      <c r="D115" t="str" cm="1">
        <f t="array" ref="D115:E115">_xlfn.TEXTSPLIT(C115, ", ")</f>
        <v>Robinson</v>
      </c>
      <c r="E115" t="str">
        <v>Brian</v>
      </c>
      <c r="F115" t="str">
        <f t="shared" si="16"/>
        <v>Brian Robinson</v>
      </c>
      <c r="G115" t="s">
        <v>22</v>
      </c>
      <c r="H115" t="s">
        <v>12</v>
      </c>
      <c r="I115">
        <v>117.96</v>
      </c>
      <c r="J115">
        <v>77</v>
      </c>
      <c r="K115">
        <v>159</v>
      </c>
      <c r="L115">
        <f>VLOOKUP(G115,byes!$A:$B,2,FALSE)</f>
        <v>14</v>
      </c>
      <c r="M115">
        <f t="shared" si="17"/>
        <v>0</v>
      </c>
      <c r="N115">
        <f t="shared" si="18"/>
        <v>0</v>
      </c>
      <c r="O115">
        <f t="shared" si="19"/>
        <v>0</v>
      </c>
      <c r="P115">
        <f t="shared" si="20"/>
        <v>0</v>
      </c>
      <c r="Q115">
        <f t="shared" si="21"/>
        <v>0</v>
      </c>
      <c r="R115">
        <f t="shared" si="22"/>
        <v>0</v>
      </c>
      <c r="S115">
        <f t="shared" si="23"/>
        <v>0</v>
      </c>
      <c r="T115">
        <f t="shared" si="24"/>
        <v>0</v>
      </c>
      <c r="U115">
        <f t="shared" si="25"/>
        <v>1</v>
      </c>
      <c r="V115">
        <f t="shared" si="26"/>
        <v>0</v>
      </c>
      <c r="W115">
        <f t="shared" si="27"/>
        <v>1</v>
      </c>
      <c r="X115">
        <f t="shared" si="28"/>
        <v>0</v>
      </c>
      <c r="Y115">
        <f t="shared" si="29"/>
        <v>0</v>
      </c>
      <c r="Z115">
        <f t="shared" si="30"/>
        <v>1</v>
      </c>
      <c r="AA115">
        <v>1</v>
      </c>
      <c r="AB115">
        <f>VLOOKUP(F115,[1]pff_ppr_projections!$B:$D,3,FALSE)</f>
        <v>170</v>
      </c>
      <c r="AC115">
        <f>VLOOKUP(F115,[2]numberFire_ppr_projections!$A:$B,2,FALSE)</f>
        <v>141.80000000000001</v>
      </c>
      <c r="AD115">
        <f>VLOOKUP(F115,[3]rotoballer_ppr_projections!$B:$G,6,FALSE)</f>
        <v>77</v>
      </c>
      <c r="AE115">
        <f>VLOOKUP(F115,[4]ppr!$B:$E,4,FALSE)</f>
        <v>78.747513041051292</v>
      </c>
      <c r="AF115">
        <f>VLOOKUP(F115,[4]half_ppr!$B:$E,4,FALSE)</f>
        <v>76.677276802211281</v>
      </c>
      <c r="AG115">
        <f>VLOOKUP(F115,[4]std!$B:$E,4,FALSE)</f>
        <v>74.607040563371285</v>
      </c>
      <c r="AH115">
        <f>IFERROR(VLOOKUP(F115,[5]actual_week11_ppr_stats!$A:$B,2,FALSE),0)</f>
        <v>45.7</v>
      </c>
    </row>
    <row r="116" spans="1:34" x14ac:dyDescent="0.2">
      <c r="A116">
        <v>115</v>
      </c>
      <c r="B116">
        <v>22062</v>
      </c>
      <c r="C116" t="s">
        <v>150</v>
      </c>
      <c r="D116" t="str" cm="1">
        <f t="array" ref="D116:E116">_xlfn.TEXTSPLIT(C116, ", ")</f>
        <v>Judkins</v>
      </c>
      <c r="E116" t="str">
        <v>Quinshon</v>
      </c>
      <c r="F116" t="str">
        <f t="shared" si="16"/>
        <v>Quinshon Judkins</v>
      </c>
      <c r="G116" t="s">
        <v>102</v>
      </c>
      <c r="H116" t="s">
        <v>12</v>
      </c>
      <c r="I116">
        <v>118.9</v>
      </c>
      <c r="J116">
        <v>92</v>
      </c>
      <c r="K116">
        <v>167</v>
      </c>
      <c r="L116">
        <f>VLOOKUP(G116,byes!$A:$B,2,FALSE)</f>
        <v>9</v>
      </c>
      <c r="M116">
        <f t="shared" si="17"/>
        <v>0</v>
      </c>
      <c r="N116">
        <f t="shared" si="18"/>
        <v>0</v>
      </c>
      <c r="O116">
        <f t="shared" si="19"/>
        <v>0</v>
      </c>
      <c r="P116">
        <f t="shared" si="20"/>
        <v>0</v>
      </c>
      <c r="Q116">
        <f t="shared" si="21"/>
        <v>1</v>
      </c>
      <c r="R116">
        <f t="shared" si="22"/>
        <v>0</v>
      </c>
      <c r="S116">
        <f t="shared" si="23"/>
        <v>0</v>
      </c>
      <c r="T116">
        <f t="shared" si="24"/>
        <v>0</v>
      </c>
      <c r="U116">
        <f t="shared" si="25"/>
        <v>0</v>
      </c>
      <c r="V116">
        <f t="shared" si="26"/>
        <v>0</v>
      </c>
      <c r="W116">
        <f t="shared" si="27"/>
        <v>1</v>
      </c>
      <c r="X116">
        <f t="shared" si="28"/>
        <v>0</v>
      </c>
      <c r="Y116">
        <f t="shared" si="29"/>
        <v>0</v>
      </c>
      <c r="Z116">
        <f t="shared" si="30"/>
        <v>1</v>
      </c>
      <c r="AA116">
        <v>1</v>
      </c>
      <c r="AB116">
        <f>VLOOKUP(F116,[1]pff_ppr_projections!$B:$D,3,FALSE)</f>
        <v>219.1</v>
      </c>
      <c r="AC116" s="1">
        <f>AVERAGE(AB116,AD116,AE116)</f>
        <v>156.00303079533333</v>
      </c>
      <c r="AD116">
        <f>VLOOKUP(F116,[3]rotoballer_ppr_projections!$B:$G,6,FALSE)</f>
        <v>123</v>
      </c>
      <c r="AE116">
        <f>VLOOKUP(F116,[4]ppr!$B:$E,4,FALSE)</f>
        <v>125.90909238599998</v>
      </c>
      <c r="AF116">
        <f>VLOOKUP(F116,[4]half_ppr!$B:$E,4,FALSE)</f>
        <v>119.71780518599999</v>
      </c>
      <c r="AG116">
        <f>VLOOKUP(F116,[4]std!$B:$E,4,FALSE)</f>
        <v>113.52651798599999</v>
      </c>
      <c r="AH116">
        <f>IFERROR(VLOOKUP(F116,[5]actual_week11_ppr_stats!$A:$B,2,FALSE),0)</f>
        <v>113</v>
      </c>
    </row>
    <row r="117" spans="1:34" x14ac:dyDescent="0.2">
      <c r="A117">
        <v>116</v>
      </c>
      <c r="B117">
        <v>22114</v>
      </c>
      <c r="C117" t="s">
        <v>151</v>
      </c>
      <c r="D117" t="str" cm="1">
        <f t="array" ref="D117:E117">_xlfn.TEXTSPLIT(C117, ", ")</f>
        <v>Higgins</v>
      </c>
      <c r="E117" t="str">
        <v>Jayden</v>
      </c>
      <c r="F117" t="str">
        <f t="shared" si="16"/>
        <v>Jayden Higgins</v>
      </c>
      <c r="G117" t="s">
        <v>28</v>
      </c>
      <c r="H117" t="s">
        <v>9</v>
      </c>
      <c r="I117">
        <v>119.4</v>
      </c>
      <c r="J117">
        <v>99</v>
      </c>
      <c r="K117">
        <v>150</v>
      </c>
      <c r="L117">
        <f>VLOOKUP(G117,byes!$A:$B,2,FALSE)</f>
        <v>6</v>
      </c>
      <c r="M117">
        <f t="shared" si="17"/>
        <v>0</v>
      </c>
      <c r="N117">
        <f t="shared" si="18"/>
        <v>1</v>
      </c>
      <c r="O117">
        <f t="shared" si="19"/>
        <v>0</v>
      </c>
      <c r="P117">
        <f t="shared" si="20"/>
        <v>0</v>
      </c>
      <c r="Q117">
        <f t="shared" si="21"/>
        <v>0</v>
      </c>
      <c r="R117">
        <f t="shared" si="22"/>
        <v>0</v>
      </c>
      <c r="S117">
        <f t="shared" si="23"/>
        <v>0</v>
      </c>
      <c r="T117">
        <f t="shared" si="24"/>
        <v>0</v>
      </c>
      <c r="U117">
        <f t="shared" si="25"/>
        <v>0</v>
      </c>
      <c r="V117">
        <f t="shared" si="26"/>
        <v>0</v>
      </c>
      <c r="W117">
        <f t="shared" si="27"/>
        <v>0</v>
      </c>
      <c r="X117">
        <f t="shared" si="28"/>
        <v>1</v>
      </c>
      <c r="Y117">
        <f t="shared" si="29"/>
        <v>0</v>
      </c>
      <c r="Z117">
        <f t="shared" si="30"/>
        <v>1</v>
      </c>
      <c r="AA117">
        <f t="shared" si="31"/>
        <v>1</v>
      </c>
      <c r="AB117">
        <f>VLOOKUP(F117,[1]pff_ppr_projections!$B:$D,3,FALSE)</f>
        <v>116.6</v>
      </c>
      <c r="AC117" s="1">
        <f>AVERAGE(AB117,AD117,AE117)</f>
        <v>150.28862267551744</v>
      </c>
      <c r="AD117">
        <f>VLOOKUP(F117,[3]rotoballer_ppr_projections!$B:$G,6,FALSE)</f>
        <v>142</v>
      </c>
      <c r="AE117">
        <f>VLOOKUP(F117,[4]ppr!$B:$E,4,FALSE)</f>
        <v>192.26586802655231</v>
      </c>
      <c r="AF117">
        <f>VLOOKUP(F117,[4]half_ppr!$B:$E,4,FALSE)</f>
        <v>159.43358181983231</v>
      </c>
      <c r="AG117">
        <f>VLOOKUP(F117,[4]std!$B:$E,4,FALSE)</f>
        <v>126.60129561311231</v>
      </c>
      <c r="AH117">
        <f>IFERROR(VLOOKUP(F117,[5]actual_week11_ppr_stats!$A:$B,2,FALSE),0)</f>
        <v>80.400000000000006</v>
      </c>
    </row>
    <row r="118" spans="1:34" x14ac:dyDescent="0.2">
      <c r="A118">
        <v>117</v>
      </c>
      <c r="B118">
        <v>22071</v>
      </c>
      <c r="C118" t="s">
        <v>258</v>
      </c>
      <c r="D118" t="str" cm="1">
        <f t="array" ref="D118:E118">_xlfn.TEXTSPLIT(C118, ", ")</f>
        <v>Gordon II</v>
      </c>
      <c r="E118" t="str">
        <v>Ollie</v>
      </c>
      <c r="F118" t="str">
        <f t="shared" si="16"/>
        <v>Ollie Gordon II</v>
      </c>
      <c r="G118" t="s">
        <v>38</v>
      </c>
      <c r="H118" t="s">
        <v>12</v>
      </c>
      <c r="I118">
        <v>119.72</v>
      </c>
      <c r="J118">
        <v>88</v>
      </c>
      <c r="K118">
        <v>149</v>
      </c>
      <c r="L118">
        <f>VLOOKUP(G118,byes!$A:$B,2,FALSE)</f>
        <v>12</v>
      </c>
      <c r="M118">
        <f t="shared" si="17"/>
        <v>0</v>
      </c>
      <c r="N118">
        <f t="shared" si="18"/>
        <v>0</v>
      </c>
      <c r="O118">
        <f t="shared" si="19"/>
        <v>0</v>
      </c>
      <c r="P118">
        <f t="shared" si="20"/>
        <v>0</v>
      </c>
      <c r="Q118">
        <f t="shared" si="21"/>
        <v>0</v>
      </c>
      <c r="R118">
        <f t="shared" si="22"/>
        <v>0</v>
      </c>
      <c r="S118">
        <f t="shared" si="23"/>
        <v>0</v>
      </c>
      <c r="T118">
        <f t="shared" si="24"/>
        <v>1</v>
      </c>
      <c r="U118">
        <f t="shared" si="25"/>
        <v>0</v>
      </c>
      <c r="V118">
        <f t="shared" si="26"/>
        <v>0</v>
      </c>
      <c r="W118">
        <f t="shared" si="27"/>
        <v>1</v>
      </c>
      <c r="X118">
        <f t="shared" si="28"/>
        <v>0</v>
      </c>
      <c r="Y118">
        <f t="shared" si="29"/>
        <v>0</v>
      </c>
      <c r="Z118">
        <f t="shared" si="30"/>
        <v>1</v>
      </c>
      <c r="AA118">
        <v>1</v>
      </c>
      <c r="AB118" s="1">
        <f>AVERAGE(AD118,AE118)</f>
        <v>109.66391792712419</v>
      </c>
      <c r="AC118" s="1">
        <f>AVERAGE(AD118,AE118)</f>
        <v>109.66391792712419</v>
      </c>
      <c r="AD118">
        <f>VLOOKUP(F118,[3]rotoballer_ppr_projections!$B:$G,6,FALSE)</f>
        <v>76</v>
      </c>
      <c r="AE118">
        <f>VLOOKUP(F118,[4]ppr!$B:$E,4,FALSE)</f>
        <v>143.32783585424838</v>
      </c>
      <c r="AF118">
        <f>VLOOKUP(F118,[4]half_ppr!$B:$E,4,FALSE)</f>
        <v>139.63678873448836</v>
      </c>
      <c r="AG118">
        <f>VLOOKUP(F118,[4]std!$B:$E,4,FALSE)</f>
        <v>135.94574161472838</v>
      </c>
      <c r="AH118">
        <f>IFERROR(VLOOKUP(F118,[5]actual_week11_ppr_stats!$A:$B,2,FALSE),0)</f>
        <v>43.4</v>
      </c>
    </row>
    <row r="119" spans="1:34" x14ac:dyDescent="0.2">
      <c r="A119">
        <v>118</v>
      </c>
      <c r="B119">
        <v>19934</v>
      </c>
      <c r="C119" t="s">
        <v>152</v>
      </c>
      <c r="D119" t="str" cm="1">
        <f t="array" ref="D119:E119">_xlfn.TEXTSPLIT(C119, ", ")</f>
        <v>Shaheed</v>
      </c>
      <c r="E119" t="str">
        <v>Rashid</v>
      </c>
      <c r="F119" t="str">
        <f t="shared" si="16"/>
        <v>Rashid Shaheed</v>
      </c>
      <c r="G119" t="s">
        <v>51</v>
      </c>
      <c r="H119" t="s">
        <v>9</v>
      </c>
      <c r="I119">
        <v>120.07</v>
      </c>
      <c r="J119">
        <v>99</v>
      </c>
      <c r="K119">
        <v>149</v>
      </c>
      <c r="L119">
        <f>VLOOKUP(G119,byes!$A:$B,2,FALSE)</f>
        <v>8</v>
      </c>
      <c r="M119">
        <f t="shared" si="17"/>
        <v>0</v>
      </c>
      <c r="N119">
        <f t="shared" si="18"/>
        <v>0</v>
      </c>
      <c r="O119">
        <f t="shared" si="19"/>
        <v>0</v>
      </c>
      <c r="P119">
        <f t="shared" si="20"/>
        <v>1</v>
      </c>
      <c r="Q119">
        <f t="shared" si="21"/>
        <v>0</v>
      </c>
      <c r="R119">
        <f t="shared" si="22"/>
        <v>0</v>
      </c>
      <c r="S119">
        <f t="shared" si="23"/>
        <v>0</v>
      </c>
      <c r="T119">
        <f t="shared" si="24"/>
        <v>0</v>
      </c>
      <c r="U119">
        <f t="shared" si="25"/>
        <v>0</v>
      </c>
      <c r="V119">
        <f t="shared" si="26"/>
        <v>0</v>
      </c>
      <c r="W119">
        <f t="shared" si="27"/>
        <v>0</v>
      </c>
      <c r="X119">
        <f t="shared" si="28"/>
        <v>1</v>
      </c>
      <c r="Y119">
        <f t="shared" si="29"/>
        <v>0</v>
      </c>
      <c r="Z119">
        <f t="shared" si="30"/>
        <v>1</v>
      </c>
      <c r="AA119">
        <v>1</v>
      </c>
      <c r="AB119">
        <f>VLOOKUP(F119,[1]pff_ppr_projections!$B:$D,3,FALSE)</f>
        <v>181.5</v>
      </c>
      <c r="AC119">
        <f>VLOOKUP(F119,[2]numberFire_ppr_projections!$A:$B,2,FALSE)</f>
        <v>191.8</v>
      </c>
      <c r="AD119">
        <f>VLOOKUP(F119,[3]rotoballer_ppr_projections!$B:$G,6,FALSE)</f>
        <v>168</v>
      </c>
      <c r="AE119">
        <f>VLOOKUP(F119,[4]ppr!$B:$E,4,FALSE)</f>
        <v>176.45914390128638</v>
      </c>
      <c r="AF119">
        <f>VLOOKUP(F119,[4]half_ppr!$B:$E,4,FALSE)</f>
        <v>145.12761977108639</v>
      </c>
      <c r="AG119">
        <f>VLOOKUP(F119,[4]std!$B:$E,4,FALSE)</f>
        <v>113.79609564088639</v>
      </c>
      <c r="AH119">
        <f>IFERROR(VLOOKUP(F119,[5]actual_week11_ppr_stats!$A:$B,2,FALSE),0)</f>
        <v>114.6</v>
      </c>
    </row>
    <row r="120" spans="1:34" x14ac:dyDescent="0.2">
      <c r="A120">
        <v>119</v>
      </c>
      <c r="B120">
        <v>22075</v>
      </c>
      <c r="C120" t="s">
        <v>153</v>
      </c>
      <c r="D120" t="str" cm="1">
        <f t="array" ref="D120:E120">_xlfn.TEXTSPLIT(C120, ", ")</f>
        <v>Loveland</v>
      </c>
      <c r="E120" t="str">
        <v>Colston</v>
      </c>
      <c r="F120" t="str">
        <f t="shared" si="16"/>
        <v>Colston Loveland</v>
      </c>
      <c r="G120" t="s">
        <v>86</v>
      </c>
      <c r="H120" t="s">
        <v>47</v>
      </c>
      <c r="I120">
        <v>121.39</v>
      </c>
      <c r="J120">
        <v>61</v>
      </c>
      <c r="K120">
        <v>149</v>
      </c>
      <c r="L120">
        <f>VLOOKUP(G120,byes!$A:$B,2,FALSE)</f>
        <v>5</v>
      </c>
      <c r="M120">
        <f t="shared" si="17"/>
        <v>1</v>
      </c>
      <c r="N120">
        <f t="shared" si="18"/>
        <v>0</v>
      </c>
      <c r="O120">
        <f t="shared" si="19"/>
        <v>0</v>
      </c>
      <c r="P120">
        <f t="shared" si="20"/>
        <v>0</v>
      </c>
      <c r="Q120">
        <f t="shared" si="21"/>
        <v>0</v>
      </c>
      <c r="R120">
        <f t="shared" si="22"/>
        <v>0</v>
      </c>
      <c r="S120">
        <f t="shared" si="23"/>
        <v>0</v>
      </c>
      <c r="T120">
        <f t="shared" si="24"/>
        <v>0</v>
      </c>
      <c r="U120">
        <f t="shared" si="25"/>
        <v>0</v>
      </c>
      <c r="V120">
        <f t="shared" si="26"/>
        <v>0</v>
      </c>
      <c r="W120">
        <f t="shared" si="27"/>
        <v>0</v>
      </c>
      <c r="X120">
        <f t="shared" si="28"/>
        <v>0</v>
      </c>
      <c r="Y120">
        <f t="shared" si="29"/>
        <v>1</v>
      </c>
      <c r="Z120">
        <f t="shared" si="30"/>
        <v>1</v>
      </c>
      <c r="AA120">
        <v>1</v>
      </c>
      <c r="AB120">
        <f>VLOOKUP(F120,[1]pff_ppr_projections!$B:$D,3,FALSE)</f>
        <v>158.80000000000001</v>
      </c>
      <c r="AC120" s="1">
        <f>AVERAGE(AB120,AD120,AE120)</f>
        <v>132.08346691980873</v>
      </c>
      <c r="AD120">
        <f>VLOOKUP(F120,[3]rotoballer_ppr_projections!$B:$G,6,FALSE)</f>
        <v>126</v>
      </c>
      <c r="AE120">
        <f>VLOOKUP(F120,[4]ppr!$B:$E,4,FALSE)</f>
        <v>111.4504007594262</v>
      </c>
      <c r="AF120">
        <f>VLOOKUP(F120,[4]half_ppr!$B:$E,4,FALSE)</f>
        <v>88.801786771426208</v>
      </c>
      <c r="AG120">
        <f>VLOOKUP(F120,[4]std!$B:$E,4,FALSE)</f>
        <v>66.153172783426214</v>
      </c>
      <c r="AH120">
        <f>IFERROR(VLOOKUP(F120,[5]actual_week11_ppr_stats!$A:$B,2,FALSE),0)</f>
        <v>68.900000000000006</v>
      </c>
    </row>
    <row r="121" spans="1:34" x14ac:dyDescent="0.2">
      <c r="A121">
        <v>120</v>
      </c>
      <c r="B121">
        <v>17009</v>
      </c>
      <c r="C121" t="s">
        <v>154</v>
      </c>
      <c r="D121" t="str" cm="1">
        <f t="array" ref="D121:E121">_xlfn.TEXTSPLIT(C121, ", ")</f>
        <v>Murray</v>
      </c>
      <c r="E121" t="str">
        <v>Kyler</v>
      </c>
      <c r="F121" t="str">
        <f t="shared" si="16"/>
        <v>Kyler Murray</v>
      </c>
      <c r="G121" t="s">
        <v>55</v>
      </c>
      <c r="H121" t="s">
        <v>57</v>
      </c>
      <c r="I121">
        <v>123.37</v>
      </c>
      <c r="J121">
        <v>83</v>
      </c>
      <c r="K121">
        <v>156</v>
      </c>
      <c r="L121">
        <f>VLOOKUP(G121,byes!$A:$B,2,FALSE)</f>
        <v>8</v>
      </c>
      <c r="M121">
        <f t="shared" si="17"/>
        <v>0</v>
      </c>
      <c r="N121">
        <f t="shared" si="18"/>
        <v>0</v>
      </c>
      <c r="O121">
        <f t="shared" si="19"/>
        <v>0</v>
      </c>
      <c r="P121">
        <f t="shared" si="20"/>
        <v>1</v>
      </c>
      <c r="Q121">
        <f t="shared" si="21"/>
        <v>0</v>
      </c>
      <c r="R121">
        <f t="shared" si="22"/>
        <v>0</v>
      </c>
      <c r="S121">
        <f t="shared" si="23"/>
        <v>0</v>
      </c>
      <c r="T121">
        <f t="shared" si="24"/>
        <v>0</v>
      </c>
      <c r="U121">
        <f t="shared" si="25"/>
        <v>0</v>
      </c>
      <c r="V121">
        <f t="shared" si="26"/>
        <v>1</v>
      </c>
      <c r="W121">
        <f t="shared" si="27"/>
        <v>0</v>
      </c>
      <c r="X121">
        <f t="shared" si="28"/>
        <v>0</v>
      </c>
      <c r="Y121">
        <f t="shared" si="29"/>
        <v>0</v>
      </c>
      <c r="Z121">
        <f t="shared" si="30"/>
        <v>0</v>
      </c>
      <c r="AA121">
        <f t="shared" si="31"/>
        <v>1</v>
      </c>
      <c r="AB121">
        <f>VLOOKUP(F121,[1]pff_ppr_projections!$B:$D,3,FALSE)</f>
        <v>277.8</v>
      </c>
      <c r="AC121">
        <f>VLOOKUP(F121,[2]numberFire_ppr_projections!$A:$B,2,FALSE)</f>
        <v>323.7</v>
      </c>
      <c r="AD121">
        <f>VLOOKUP(F121,[3]rotoballer_ppr_projections!$B:$G,6,FALSE)</f>
        <v>295</v>
      </c>
      <c r="AE121">
        <f>VLOOKUP(F121,[4]ppr!$B:$E,4,FALSE)</f>
        <v>305.49353011697758</v>
      </c>
      <c r="AF121">
        <f>VLOOKUP(F121,[4]half_ppr!$B:$E,4,FALSE)</f>
        <v>305.49353011697758</v>
      </c>
      <c r="AG121">
        <f>VLOOKUP(F121,[4]std!$B:$E,4,FALSE)</f>
        <v>305.49353011697758</v>
      </c>
      <c r="AH121">
        <f>IFERROR(VLOOKUP(F121,[5]actual_week11_ppr_stats!$A:$B,2,FALSE),0)</f>
        <v>82.8</v>
      </c>
    </row>
    <row r="122" spans="1:34" x14ac:dyDescent="0.2">
      <c r="A122">
        <v>121</v>
      </c>
      <c r="B122">
        <v>11857</v>
      </c>
      <c r="C122" t="s">
        <v>155</v>
      </c>
      <c r="D122" t="str" cm="1">
        <f t="array" ref="D122:E122">_xlfn.TEXTSPLIT(C122, ", ")</f>
        <v>Allen</v>
      </c>
      <c r="E122" t="str">
        <v>Keenan</v>
      </c>
      <c r="F122" t="str">
        <f t="shared" si="16"/>
        <v>Keenan Allen</v>
      </c>
      <c r="G122" t="s">
        <v>49</v>
      </c>
      <c r="H122" t="s">
        <v>9</v>
      </c>
      <c r="I122">
        <v>123.45</v>
      </c>
      <c r="J122">
        <v>86</v>
      </c>
      <c r="K122">
        <v>156</v>
      </c>
      <c r="L122">
        <f>VLOOKUP(G122,byes!$A:$B,2,FALSE)</f>
        <v>12</v>
      </c>
      <c r="M122">
        <f t="shared" si="17"/>
        <v>0</v>
      </c>
      <c r="N122">
        <f t="shared" si="18"/>
        <v>0</v>
      </c>
      <c r="O122">
        <f t="shared" si="19"/>
        <v>0</v>
      </c>
      <c r="P122">
        <f t="shared" si="20"/>
        <v>0</v>
      </c>
      <c r="Q122">
        <f t="shared" si="21"/>
        <v>0</v>
      </c>
      <c r="R122">
        <f t="shared" si="22"/>
        <v>0</v>
      </c>
      <c r="S122">
        <f t="shared" si="23"/>
        <v>0</v>
      </c>
      <c r="T122">
        <f t="shared" si="24"/>
        <v>1</v>
      </c>
      <c r="U122">
        <f t="shared" si="25"/>
        <v>0</v>
      </c>
      <c r="V122">
        <f t="shared" si="26"/>
        <v>0</v>
      </c>
      <c r="W122">
        <f t="shared" si="27"/>
        <v>0</v>
      </c>
      <c r="X122">
        <f t="shared" si="28"/>
        <v>1</v>
      </c>
      <c r="Y122">
        <f t="shared" si="29"/>
        <v>0</v>
      </c>
      <c r="Z122">
        <f t="shared" si="30"/>
        <v>1</v>
      </c>
      <c r="AA122">
        <v>1</v>
      </c>
      <c r="AB122" s="1">
        <f>AVERAGE(AD122,AE122)</f>
        <v>147.231983109662</v>
      </c>
      <c r="AC122" s="1">
        <f>AVERAGE(AD122,AE122)</f>
        <v>147.231983109662</v>
      </c>
      <c r="AD122">
        <f>VLOOKUP(F122,[3]rotoballer_ppr_projections!$B:$G,6,FALSE)</f>
        <v>139</v>
      </c>
      <c r="AE122">
        <f>VLOOKUP(F122,[4]ppr!$B:$E,4,FALSE)</f>
        <v>155.46396621932399</v>
      </c>
      <c r="AF122">
        <f>VLOOKUP(F122,[4]half_ppr!$B:$E,4,FALSE)</f>
        <v>124.92094731572399</v>
      </c>
      <c r="AG122">
        <f>VLOOKUP(F122,[4]std!$B:$E,4,FALSE)</f>
        <v>94.377928412123993</v>
      </c>
      <c r="AH122">
        <f>IFERROR(VLOOKUP(F122,[5]actual_week11_ppr_stats!$A:$B,2,FALSE),0)</f>
        <v>139.19999999999999</v>
      </c>
    </row>
    <row r="123" spans="1:34" x14ac:dyDescent="0.2">
      <c r="A123">
        <v>122</v>
      </c>
      <c r="B123">
        <v>18791</v>
      </c>
      <c r="C123" t="s">
        <v>156</v>
      </c>
      <c r="D123" t="str" cm="1">
        <f t="array" ref="D123:E123">_xlfn.TEXTSPLIT(C123, ", ")</f>
        <v>Stevenson</v>
      </c>
      <c r="E123" t="str">
        <v>Rhamondre</v>
      </c>
      <c r="F123" t="str">
        <f t="shared" si="16"/>
        <v>Rhamondre Stevenson</v>
      </c>
      <c r="G123" t="s">
        <v>64</v>
      </c>
      <c r="H123" t="s">
        <v>12</v>
      </c>
      <c r="I123">
        <v>123.95</v>
      </c>
      <c r="J123">
        <v>98</v>
      </c>
      <c r="K123">
        <v>160</v>
      </c>
      <c r="L123">
        <f>VLOOKUP(G123,byes!$A:$B,2,FALSE)</f>
        <v>14</v>
      </c>
      <c r="M123">
        <f t="shared" si="17"/>
        <v>0</v>
      </c>
      <c r="N123">
        <f t="shared" si="18"/>
        <v>0</v>
      </c>
      <c r="O123">
        <f t="shared" si="19"/>
        <v>0</v>
      </c>
      <c r="P123">
        <f t="shared" si="20"/>
        <v>0</v>
      </c>
      <c r="Q123">
        <f t="shared" si="21"/>
        <v>0</v>
      </c>
      <c r="R123">
        <f t="shared" si="22"/>
        <v>0</v>
      </c>
      <c r="S123">
        <f t="shared" si="23"/>
        <v>0</v>
      </c>
      <c r="T123">
        <f t="shared" si="24"/>
        <v>0</v>
      </c>
      <c r="U123">
        <f t="shared" si="25"/>
        <v>1</v>
      </c>
      <c r="V123">
        <f t="shared" si="26"/>
        <v>0</v>
      </c>
      <c r="W123">
        <f t="shared" si="27"/>
        <v>1</v>
      </c>
      <c r="X123">
        <f t="shared" si="28"/>
        <v>0</v>
      </c>
      <c r="Y123">
        <f t="shared" si="29"/>
        <v>0</v>
      </c>
      <c r="Z123">
        <f t="shared" si="30"/>
        <v>1</v>
      </c>
      <c r="AA123">
        <v>1</v>
      </c>
      <c r="AB123">
        <f>VLOOKUP(F123,[1]pff_ppr_projections!$B:$D,3,FALSE)</f>
        <v>169.6</v>
      </c>
      <c r="AC123">
        <f>VLOOKUP(F123,[2]numberFire_ppr_projections!$A:$B,2,FALSE)</f>
        <v>107.2</v>
      </c>
      <c r="AD123">
        <f>VLOOKUP(F123,[3]rotoballer_ppr_projections!$B:$G,6,FALSE)</f>
        <v>141</v>
      </c>
      <c r="AE123">
        <f>VLOOKUP(F123,[4]ppr!$B:$E,4,FALSE)</f>
        <v>116.37622317800003</v>
      </c>
      <c r="AF123">
        <f>VLOOKUP(F123,[4]half_ppr!$B:$E,4,FALSE)</f>
        <v>107.85948008552003</v>
      </c>
      <c r="AG123">
        <f>VLOOKUP(F123,[4]std!$B:$E,4,FALSE)</f>
        <v>99.342736993040035</v>
      </c>
      <c r="AH123">
        <f>IFERROR(VLOOKUP(F123,[5]actual_week11_ppr_stats!$A:$B,2,FALSE),0)</f>
        <v>78.8</v>
      </c>
    </row>
    <row r="124" spans="1:34" x14ac:dyDescent="0.2">
      <c r="A124">
        <v>123</v>
      </c>
      <c r="B124">
        <v>18826</v>
      </c>
      <c r="C124" t="s">
        <v>157</v>
      </c>
      <c r="D124" t="str" cm="1">
        <f t="array" ref="D124:E124">_xlfn.TEXTSPLIT(C124, ", ")</f>
        <v>Harris</v>
      </c>
      <c r="E124" t="str">
        <v>Najee</v>
      </c>
      <c r="F124" t="str">
        <f t="shared" si="16"/>
        <v>Najee Harris</v>
      </c>
      <c r="G124" t="s">
        <v>49</v>
      </c>
      <c r="H124" t="s">
        <v>12</v>
      </c>
      <c r="I124">
        <v>124.83</v>
      </c>
      <c r="J124">
        <v>94</v>
      </c>
      <c r="K124">
        <v>152</v>
      </c>
      <c r="L124">
        <f>VLOOKUP(G124,byes!$A:$B,2,FALSE)</f>
        <v>12</v>
      </c>
      <c r="M124">
        <f t="shared" si="17"/>
        <v>0</v>
      </c>
      <c r="N124">
        <f t="shared" si="18"/>
        <v>0</v>
      </c>
      <c r="O124">
        <f t="shared" si="19"/>
        <v>0</v>
      </c>
      <c r="P124">
        <f t="shared" si="20"/>
        <v>0</v>
      </c>
      <c r="Q124">
        <f t="shared" si="21"/>
        <v>0</v>
      </c>
      <c r="R124">
        <f t="shared" si="22"/>
        <v>0</v>
      </c>
      <c r="S124">
        <f t="shared" si="23"/>
        <v>0</v>
      </c>
      <c r="T124">
        <f t="shared" si="24"/>
        <v>1</v>
      </c>
      <c r="U124">
        <f t="shared" si="25"/>
        <v>0</v>
      </c>
      <c r="V124">
        <f t="shared" si="26"/>
        <v>0</v>
      </c>
      <c r="W124">
        <f t="shared" si="27"/>
        <v>1</v>
      </c>
      <c r="X124">
        <f t="shared" si="28"/>
        <v>0</v>
      </c>
      <c r="Y124">
        <f t="shared" si="29"/>
        <v>0</v>
      </c>
      <c r="Z124">
        <f t="shared" si="30"/>
        <v>1</v>
      </c>
      <c r="AA124">
        <v>1</v>
      </c>
      <c r="AB124">
        <f>VLOOKUP(F124,[1]pff_ppr_projections!$B:$D,3,FALSE)</f>
        <v>95</v>
      </c>
      <c r="AC124">
        <f>VLOOKUP(F124,[2]numberFire_ppr_projections!$A:$B,2,FALSE)</f>
        <v>142</v>
      </c>
      <c r="AD124" s="1">
        <f>AVERAGE(AB124,AC124,AE124)</f>
        <v>111.91741065262346</v>
      </c>
      <c r="AE124">
        <f>VLOOKUP(F124,[4]ppr!$B:$E,4,FALSE)</f>
        <v>98.752231957870393</v>
      </c>
      <c r="AF124">
        <f>VLOOKUP(F124,[4]half_ppr!$B:$E,4,FALSE)</f>
        <v>93.92020870727039</v>
      </c>
      <c r="AG124">
        <f>VLOOKUP(F124,[4]std!$B:$E,4,FALSE)</f>
        <v>89.088185456670388</v>
      </c>
      <c r="AH124">
        <f>IFERROR(VLOOKUP(F124,[5]actual_week11_ppr_stats!$A:$B,2,FALSE),0)</f>
        <v>11.6</v>
      </c>
    </row>
    <row r="125" spans="1:34" x14ac:dyDescent="0.2">
      <c r="A125">
        <v>124</v>
      </c>
      <c r="B125">
        <v>22092</v>
      </c>
      <c r="C125" t="s">
        <v>158</v>
      </c>
      <c r="D125" t="str" cm="1">
        <f t="array" ref="D125:E125">_xlfn.TEXTSPLIT(C125, ", ")</f>
        <v>Blue</v>
      </c>
      <c r="E125" t="str">
        <v>Jaydon</v>
      </c>
      <c r="F125" t="str">
        <f t="shared" si="16"/>
        <v>Jaydon Blue</v>
      </c>
      <c r="G125" t="s">
        <v>16</v>
      </c>
      <c r="H125" t="s">
        <v>12</v>
      </c>
      <c r="I125">
        <v>125.05</v>
      </c>
      <c r="J125">
        <v>98</v>
      </c>
      <c r="K125">
        <v>155</v>
      </c>
      <c r="L125">
        <f>VLOOKUP(G125,byes!$A:$B,2,FALSE)</f>
        <v>10</v>
      </c>
      <c r="M125">
        <f t="shared" si="17"/>
        <v>0</v>
      </c>
      <c r="N125">
        <f t="shared" si="18"/>
        <v>0</v>
      </c>
      <c r="O125">
        <f t="shared" si="19"/>
        <v>0</v>
      </c>
      <c r="P125">
        <f t="shared" si="20"/>
        <v>0</v>
      </c>
      <c r="Q125">
        <f t="shared" si="21"/>
        <v>0</v>
      </c>
      <c r="R125">
        <f t="shared" si="22"/>
        <v>1</v>
      </c>
      <c r="S125">
        <f t="shared" si="23"/>
        <v>0</v>
      </c>
      <c r="T125">
        <f t="shared" si="24"/>
        <v>0</v>
      </c>
      <c r="U125">
        <f t="shared" si="25"/>
        <v>0</v>
      </c>
      <c r="V125">
        <f t="shared" si="26"/>
        <v>0</v>
      </c>
      <c r="W125">
        <f t="shared" si="27"/>
        <v>1</v>
      </c>
      <c r="X125">
        <f t="shared" si="28"/>
        <v>0</v>
      </c>
      <c r="Y125">
        <f t="shared" si="29"/>
        <v>0</v>
      </c>
      <c r="Z125">
        <f t="shared" si="30"/>
        <v>1</v>
      </c>
      <c r="AA125">
        <f t="shared" si="31"/>
        <v>1</v>
      </c>
      <c r="AB125">
        <f>VLOOKUP(F125,[1]pff_ppr_projections!$B:$D,3,FALSE)</f>
        <v>110</v>
      </c>
      <c r="AC125" s="1">
        <f>AVERAGE(AB125,AD125,AE125)</f>
        <v>120.52969584714367</v>
      </c>
      <c r="AD125">
        <f>VLOOKUP(F125,[3]rotoballer_ppr_projections!$B:$G,6,FALSE)</f>
        <v>116</v>
      </c>
      <c r="AE125">
        <f>VLOOKUP(F125,[4]ppr!$B:$E,4,FALSE)</f>
        <v>135.58908754143098</v>
      </c>
      <c r="AF125">
        <f>VLOOKUP(F125,[4]half_ppr!$B:$E,4,FALSE)</f>
        <v>121.94060472520468</v>
      </c>
      <c r="AG125">
        <f>VLOOKUP(F125,[4]std!$B:$E,4,FALSE)</f>
        <v>108.29212190897837</v>
      </c>
      <c r="AH125">
        <f>IFERROR(VLOOKUP(F125,[5]actual_week11_ppr_stats!$A:$B,2,FALSE),0)</f>
        <v>8</v>
      </c>
    </row>
    <row r="126" spans="1:34" x14ac:dyDescent="0.2">
      <c r="A126">
        <v>125</v>
      </c>
      <c r="B126">
        <v>22099</v>
      </c>
      <c r="C126" t="s">
        <v>159</v>
      </c>
      <c r="D126" t="str" cm="1">
        <f t="array" ref="D126:E126">_xlfn.TEXTSPLIT(C126, ", ")</f>
        <v>Sampson</v>
      </c>
      <c r="E126" t="str">
        <v>Dylan</v>
      </c>
      <c r="F126" t="str">
        <f t="shared" si="16"/>
        <v>Dylan Sampson</v>
      </c>
      <c r="G126" t="s">
        <v>102</v>
      </c>
      <c r="H126" t="s">
        <v>12</v>
      </c>
      <c r="I126">
        <v>125.53</v>
      </c>
      <c r="J126">
        <v>97</v>
      </c>
      <c r="K126">
        <v>168</v>
      </c>
      <c r="L126">
        <f>VLOOKUP(G126,byes!$A:$B,2,FALSE)</f>
        <v>9</v>
      </c>
      <c r="M126">
        <f t="shared" si="17"/>
        <v>0</v>
      </c>
      <c r="N126">
        <f t="shared" si="18"/>
        <v>0</v>
      </c>
      <c r="O126">
        <f t="shared" si="19"/>
        <v>0</v>
      </c>
      <c r="P126">
        <f t="shared" si="20"/>
        <v>0</v>
      </c>
      <c r="Q126">
        <f t="shared" si="21"/>
        <v>1</v>
      </c>
      <c r="R126">
        <f t="shared" si="22"/>
        <v>0</v>
      </c>
      <c r="S126">
        <f t="shared" si="23"/>
        <v>0</v>
      </c>
      <c r="T126">
        <f t="shared" si="24"/>
        <v>0</v>
      </c>
      <c r="U126">
        <f t="shared" si="25"/>
        <v>0</v>
      </c>
      <c r="V126">
        <f t="shared" si="26"/>
        <v>0</v>
      </c>
      <c r="W126">
        <f t="shared" si="27"/>
        <v>1</v>
      </c>
      <c r="X126">
        <f t="shared" si="28"/>
        <v>0</v>
      </c>
      <c r="Y126">
        <f t="shared" si="29"/>
        <v>0</v>
      </c>
      <c r="Z126">
        <f t="shared" si="30"/>
        <v>1</v>
      </c>
      <c r="AA126">
        <v>1</v>
      </c>
      <c r="AB126">
        <f>VLOOKUP(F126,[1]pff_ppr_projections!$B:$D,3,FALSE)</f>
        <v>101</v>
      </c>
      <c r="AC126">
        <f>VLOOKUP(F126,[2]numberFire_ppr_projections!$A:$B,2,FALSE)</f>
        <v>129.30000000000001</v>
      </c>
      <c r="AD126">
        <f>VLOOKUP(F126,[3]rotoballer_ppr_projections!$B:$G,6,FALSE)</f>
        <v>113</v>
      </c>
      <c r="AE126">
        <f>VLOOKUP(F126,[4]ppr!$B:$E,4,FALSE)</f>
        <v>147.95665012800004</v>
      </c>
      <c r="AF126">
        <f>VLOOKUP(F126,[4]half_ppr!$B:$E,4,FALSE)</f>
        <v>133.82436412800004</v>
      </c>
      <c r="AG126">
        <f>VLOOKUP(F126,[4]std!$B:$E,4,FALSE)</f>
        <v>119.69207812800003</v>
      </c>
      <c r="AH126">
        <f>IFERROR(VLOOKUP(F126,[5]actual_week11_ppr_stats!$A:$B,2,FALSE),0)</f>
        <v>47.2</v>
      </c>
    </row>
    <row r="127" spans="1:34" x14ac:dyDescent="0.2">
      <c r="A127">
        <v>126</v>
      </c>
      <c r="B127">
        <v>20279</v>
      </c>
      <c r="C127" t="s">
        <v>160</v>
      </c>
      <c r="D127" t="str" cm="1">
        <f t="array" ref="D127:E127">_xlfn.TEXTSPLIT(C127, ", ")</f>
        <v>Bigsby</v>
      </c>
      <c r="E127" t="str">
        <v>Tank</v>
      </c>
      <c r="F127" t="str">
        <f t="shared" si="16"/>
        <v>Tank Bigsby</v>
      </c>
      <c r="G127" t="s">
        <v>18</v>
      </c>
      <c r="H127" t="s">
        <v>12</v>
      </c>
      <c r="I127">
        <v>125.56</v>
      </c>
      <c r="J127">
        <v>97</v>
      </c>
      <c r="K127">
        <v>154</v>
      </c>
      <c r="L127">
        <f>VLOOKUP(G127,byes!$A:$B,2,FALSE)</f>
        <v>9</v>
      </c>
      <c r="M127">
        <f t="shared" si="17"/>
        <v>0</v>
      </c>
      <c r="N127">
        <f t="shared" si="18"/>
        <v>0</v>
      </c>
      <c r="O127">
        <f t="shared" si="19"/>
        <v>0</v>
      </c>
      <c r="P127">
        <f t="shared" si="20"/>
        <v>0</v>
      </c>
      <c r="Q127">
        <f t="shared" si="21"/>
        <v>1</v>
      </c>
      <c r="R127">
        <f t="shared" si="22"/>
        <v>0</v>
      </c>
      <c r="S127">
        <f t="shared" si="23"/>
        <v>0</v>
      </c>
      <c r="T127">
        <f t="shared" si="24"/>
        <v>0</v>
      </c>
      <c r="U127">
        <f t="shared" si="25"/>
        <v>0</v>
      </c>
      <c r="V127">
        <f t="shared" si="26"/>
        <v>0</v>
      </c>
      <c r="W127">
        <f t="shared" si="27"/>
        <v>1</v>
      </c>
      <c r="X127">
        <f t="shared" si="28"/>
        <v>0</v>
      </c>
      <c r="Y127">
        <f t="shared" si="29"/>
        <v>0</v>
      </c>
      <c r="Z127">
        <f t="shared" si="30"/>
        <v>1</v>
      </c>
      <c r="AA127">
        <v>1</v>
      </c>
      <c r="AB127">
        <f>VLOOKUP(F127,[1]pff_ppr_projections!$B:$D,3,FALSE)</f>
        <v>118.3</v>
      </c>
      <c r="AC127">
        <f>VLOOKUP(F127,[2]numberFire_ppr_projections!$A:$B,2,FALSE)</f>
        <v>113</v>
      </c>
      <c r="AD127">
        <f>VLOOKUP(F127,[3]rotoballer_ppr_projections!$B:$G,6,FALSE)</f>
        <v>111</v>
      </c>
      <c r="AE127">
        <f>VLOOKUP(F127,[4]ppr!$B:$E,4,FALSE)</f>
        <v>96.068945608271903</v>
      </c>
      <c r="AF127">
        <f>VLOOKUP(F127,[4]half_ppr!$B:$E,4,FALSE)</f>
        <v>91.980128044671901</v>
      </c>
      <c r="AG127">
        <f>VLOOKUP(F127,[4]std!$B:$E,4,FALSE)</f>
        <v>87.891310481071898</v>
      </c>
      <c r="AH127">
        <f>IFERROR(VLOOKUP(F127,[5]actual_week11_ppr_stats!$A:$B,2,FALSE),0)</f>
        <v>17.7</v>
      </c>
    </row>
    <row r="128" spans="1:34" x14ac:dyDescent="0.2">
      <c r="A128">
        <v>127</v>
      </c>
      <c r="B128">
        <v>22060</v>
      </c>
      <c r="C128" t="s">
        <v>259</v>
      </c>
      <c r="D128" t="str" cm="1">
        <f t="array" ref="D128:E128">_xlfn.TEXTSPLIT(C128, ", ")</f>
        <v>Burden III</v>
      </c>
      <c r="E128" t="str">
        <v>Luther</v>
      </c>
      <c r="F128" t="str">
        <f t="shared" si="16"/>
        <v>Luther Burden III</v>
      </c>
      <c r="G128" t="s">
        <v>86</v>
      </c>
      <c r="H128" t="s">
        <v>9</v>
      </c>
      <c r="I128">
        <v>125.99</v>
      </c>
      <c r="J128">
        <v>98</v>
      </c>
      <c r="K128">
        <v>164</v>
      </c>
      <c r="L128">
        <f>VLOOKUP(G128,byes!$A:$B,2,FALSE)</f>
        <v>5</v>
      </c>
      <c r="M128">
        <f t="shared" si="17"/>
        <v>1</v>
      </c>
      <c r="N128">
        <f t="shared" si="18"/>
        <v>0</v>
      </c>
      <c r="O128">
        <f t="shared" si="19"/>
        <v>0</v>
      </c>
      <c r="P128">
        <f t="shared" si="20"/>
        <v>0</v>
      </c>
      <c r="Q128">
        <f t="shared" si="21"/>
        <v>0</v>
      </c>
      <c r="R128">
        <f t="shared" si="22"/>
        <v>0</v>
      </c>
      <c r="S128">
        <f t="shared" si="23"/>
        <v>0</v>
      </c>
      <c r="T128">
        <f t="shared" si="24"/>
        <v>0</v>
      </c>
      <c r="U128">
        <f t="shared" si="25"/>
        <v>0</v>
      </c>
      <c r="V128">
        <f t="shared" si="26"/>
        <v>0</v>
      </c>
      <c r="W128">
        <f t="shared" si="27"/>
        <v>0</v>
      </c>
      <c r="X128">
        <f t="shared" si="28"/>
        <v>1</v>
      </c>
      <c r="Y128">
        <f t="shared" si="29"/>
        <v>0</v>
      </c>
      <c r="Z128">
        <f t="shared" si="30"/>
        <v>1</v>
      </c>
      <c r="AA128">
        <v>1</v>
      </c>
      <c r="AB128">
        <f>VLOOKUP(F128,[1]pff_ppr_projections!$B:$D,3,FALSE)</f>
        <v>98.5</v>
      </c>
      <c r="AC128" s="1">
        <f>AVERAGE(AB128,AD128,AE128)</f>
        <v>114.78065970656878</v>
      </c>
      <c r="AD128">
        <f>VLOOKUP(F128,[3]rotoballer_ppr_projections!$B:$G,6,FALSE)</f>
        <v>122</v>
      </c>
      <c r="AE128">
        <f>VLOOKUP(F128,[4]ppr!$B:$E,4,FALSE)</f>
        <v>123.84197911970638</v>
      </c>
      <c r="AF128">
        <f>VLOOKUP(F128,[4]half_ppr!$B:$E,4,FALSE)</f>
        <v>100.64190809690639</v>
      </c>
      <c r="AG128">
        <f>VLOOKUP(F128,[4]std!$B:$E,4,FALSE)</f>
        <v>77.441837074106388</v>
      </c>
      <c r="AH128">
        <f>IFERROR(VLOOKUP(F128,[5]actual_week11_ppr_stats!$A:$B,2,FALSE),0)</f>
        <v>50.5</v>
      </c>
    </row>
    <row r="129" spans="1:34" x14ac:dyDescent="0.2">
      <c r="A129">
        <v>128</v>
      </c>
      <c r="B129">
        <v>16067</v>
      </c>
      <c r="C129" t="s">
        <v>161</v>
      </c>
      <c r="D129" t="str" cm="1">
        <f t="array" ref="D129:E129">_xlfn.TEXTSPLIT(C129, ", ")</f>
        <v>Chubb</v>
      </c>
      <c r="E129" t="str">
        <v>Nick</v>
      </c>
      <c r="F129" t="str">
        <f t="shared" si="16"/>
        <v>Nick Chubb</v>
      </c>
      <c r="G129" t="s">
        <v>28</v>
      </c>
      <c r="H129" t="s">
        <v>12</v>
      </c>
      <c r="I129">
        <v>126.84</v>
      </c>
      <c r="J129">
        <v>77</v>
      </c>
      <c r="K129">
        <v>153</v>
      </c>
      <c r="L129">
        <f>VLOOKUP(G129,byes!$A:$B,2,FALSE)</f>
        <v>6</v>
      </c>
      <c r="M129">
        <f t="shared" si="17"/>
        <v>0</v>
      </c>
      <c r="N129">
        <f t="shared" si="18"/>
        <v>1</v>
      </c>
      <c r="O129">
        <f t="shared" si="19"/>
        <v>0</v>
      </c>
      <c r="P129">
        <f t="shared" si="20"/>
        <v>0</v>
      </c>
      <c r="Q129">
        <f t="shared" si="21"/>
        <v>0</v>
      </c>
      <c r="R129">
        <f t="shared" si="22"/>
        <v>0</v>
      </c>
      <c r="S129">
        <f t="shared" si="23"/>
        <v>0</v>
      </c>
      <c r="T129">
        <f t="shared" si="24"/>
        <v>0</v>
      </c>
      <c r="U129">
        <f t="shared" si="25"/>
        <v>0</v>
      </c>
      <c r="V129">
        <f t="shared" si="26"/>
        <v>0</v>
      </c>
      <c r="W129">
        <f t="shared" si="27"/>
        <v>1</v>
      </c>
      <c r="X129">
        <f t="shared" si="28"/>
        <v>0</v>
      </c>
      <c r="Y129">
        <f t="shared" si="29"/>
        <v>0</v>
      </c>
      <c r="Z129">
        <f t="shared" si="30"/>
        <v>1</v>
      </c>
      <c r="AA129">
        <f t="shared" si="31"/>
        <v>1</v>
      </c>
      <c r="AB129">
        <f>VLOOKUP(F129,[1]pff_ppr_projections!$B:$D,3,FALSE)</f>
        <v>72.400000000000006</v>
      </c>
      <c r="AC129" s="1">
        <f>AVERAGE(AB129,AD129,AE129)</f>
        <v>100.28700303786916</v>
      </c>
      <c r="AD129">
        <f>VLOOKUP(F129,[3]rotoballer_ppr_projections!$B:$G,6,FALSE)</f>
        <v>103</v>
      </c>
      <c r="AE129">
        <f>VLOOKUP(F129,[4]ppr!$B:$E,4,FALSE)</f>
        <v>125.46100911360746</v>
      </c>
      <c r="AF129">
        <f>VLOOKUP(F129,[4]half_ppr!$B:$E,4,FALSE)</f>
        <v>120.99604529028747</v>
      </c>
      <c r="AG129">
        <f>VLOOKUP(F129,[4]std!$B:$E,4,FALSE)</f>
        <v>116.53108146696746</v>
      </c>
      <c r="AH129">
        <f>IFERROR(VLOOKUP(F129,[5]actual_week11_ppr_stats!$A:$B,2,FALSE),0)</f>
        <v>73.3</v>
      </c>
    </row>
    <row r="130" spans="1:34" x14ac:dyDescent="0.2">
      <c r="A130">
        <v>129</v>
      </c>
      <c r="B130">
        <v>19742</v>
      </c>
      <c r="C130" t="s">
        <v>162</v>
      </c>
      <c r="D130" t="str" cm="1">
        <f t="array" ref="D130:E130">_xlfn.TEXTSPLIT(C130, ", ")</f>
        <v>Purdy</v>
      </c>
      <c r="E130" t="str">
        <v>Brock</v>
      </c>
      <c r="F130" t="str">
        <f t="shared" si="16"/>
        <v>Brock Purdy</v>
      </c>
      <c r="G130" t="s">
        <v>22</v>
      </c>
      <c r="H130" t="s">
        <v>57</v>
      </c>
      <c r="I130">
        <v>128.99</v>
      </c>
      <c r="J130">
        <v>88</v>
      </c>
      <c r="K130">
        <v>186</v>
      </c>
      <c r="L130">
        <f>VLOOKUP(G130,byes!$A:$B,2,FALSE)</f>
        <v>14</v>
      </c>
      <c r="M130">
        <f t="shared" si="17"/>
        <v>0</v>
      </c>
      <c r="N130">
        <f t="shared" si="18"/>
        <v>0</v>
      </c>
      <c r="O130">
        <f t="shared" si="19"/>
        <v>0</v>
      </c>
      <c r="P130">
        <f t="shared" si="20"/>
        <v>0</v>
      </c>
      <c r="Q130">
        <f t="shared" si="21"/>
        <v>0</v>
      </c>
      <c r="R130">
        <f t="shared" si="22"/>
        <v>0</v>
      </c>
      <c r="S130">
        <f t="shared" si="23"/>
        <v>0</v>
      </c>
      <c r="T130">
        <f t="shared" si="24"/>
        <v>0</v>
      </c>
      <c r="U130">
        <f t="shared" si="25"/>
        <v>1</v>
      </c>
      <c r="V130">
        <f t="shared" si="26"/>
        <v>1</v>
      </c>
      <c r="W130">
        <f t="shared" si="27"/>
        <v>0</v>
      </c>
      <c r="X130">
        <f t="shared" si="28"/>
        <v>0</v>
      </c>
      <c r="Y130">
        <f t="shared" si="29"/>
        <v>0</v>
      </c>
      <c r="Z130">
        <f t="shared" si="30"/>
        <v>0</v>
      </c>
      <c r="AA130">
        <v>1</v>
      </c>
      <c r="AB130">
        <f>VLOOKUP(F130,[1]pff_ppr_projections!$B:$D,3,FALSE)</f>
        <v>288.3</v>
      </c>
      <c r="AC130">
        <f>VLOOKUP(F130,[2]numberFire_ppr_projections!$A:$B,2,FALSE)</f>
        <v>306.10000000000002</v>
      </c>
      <c r="AD130">
        <f>VLOOKUP(F130,[3]rotoballer_ppr_projections!$B:$G,6,FALSE)</f>
        <v>301</v>
      </c>
      <c r="AE130">
        <f>VLOOKUP(F130,[4]ppr!$B:$E,4,FALSE)</f>
        <v>307.63939247855097</v>
      </c>
      <c r="AF130">
        <f>VLOOKUP(F130,[4]half_ppr!$B:$E,4,FALSE)</f>
        <v>307.63939247855097</v>
      </c>
      <c r="AG130">
        <f>VLOOKUP(F130,[4]std!$B:$E,4,FALSE)</f>
        <v>307.63939247855097</v>
      </c>
      <c r="AH130">
        <f>IFERROR(VLOOKUP(F130,[5]actual_week11_ppr_stats!$A:$B,2,FALSE),0)</f>
        <v>57.7</v>
      </c>
    </row>
    <row r="131" spans="1:34" x14ac:dyDescent="0.2">
      <c r="A131">
        <v>130</v>
      </c>
      <c r="B131">
        <v>17983</v>
      </c>
      <c r="C131" t="s">
        <v>163</v>
      </c>
      <c r="D131" t="str" cm="1">
        <f t="array" ref="D131:E131">_xlfn.TEXTSPLIT(C131, ", ")</f>
        <v>Aiyuk</v>
      </c>
      <c r="E131" t="str">
        <v>Brandon</v>
      </c>
      <c r="F131" t="str">
        <f t="shared" ref="F131:F185" si="32">_xlfn.REGEXREPLACE(E131 &amp; " " &amp; D131, "\.", "")</f>
        <v>Brandon Aiyuk</v>
      </c>
      <c r="G131" t="s">
        <v>22</v>
      </c>
      <c r="H131" t="s">
        <v>9</v>
      </c>
      <c r="I131">
        <v>130.57</v>
      </c>
      <c r="J131">
        <v>98</v>
      </c>
      <c r="K131">
        <v>182</v>
      </c>
      <c r="L131">
        <f>VLOOKUP(G131,byes!$A:$B,2,FALSE)</f>
        <v>14</v>
      </c>
      <c r="M131">
        <f t="shared" ref="M131:M185" si="33">IF(L131=5,1,0)</f>
        <v>0</v>
      </c>
      <c r="N131">
        <f t="shared" ref="N131:N185" si="34">IF(L131=6,1,0)</f>
        <v>0</v>
      </c>
      <c r="O131">
        <f t="shared" ref="O131:O185" si="35">IF(L131=7,1,0)</f>
        <v>0</v>
      </c>
      <c r="P131">
        <f t="shared" ref="P131:P185" si="36">IF(L131=8,1,0)</f>
        <v>0</v>
      </c>
      <c r="Q131">
        <f t="shared" ref="Q131:Q185" si="37">IF(L131=9,1,0)</f>
        <v>0</v>
      </c>
      <c r="R131">
        <f t="shared" ref="R131:R185" si="38">IF(L131=10,1,0)</f>
        <v>0</v>
      </c>
      <c r="S131">
        <f t="shared" ref="S131:S185" si="39">IF(L131=11,1,0)</f>
        <v>0</v>
      </c>
      <c r="T131">
        <f t="shared" ref="T131:T185" si="40">IF(L131=12,1,0)</f>
        <v>0</v>
      </c>
      <c r="U131">
        <f t="shared" ref="U131:U185" si="41">IF(L131=14,1,0)</f>
        <v>1</v>
      </c>
      <c r="V131">
        <f t="shared" ref="V131:V185" si="42">IF(H131="QB", 1, 0)</f>
        <v>0</v>
      </c>
      <c r="W131">
        <f t="shared" ref="W131:W185" si="43">IF(H131="RB",1,0)</f>
        <v>0</v>
      </c>
      <c r="X131">
        <f t="shared" ref="X131:X185" si="44">IF(H131="WR",1,0)</f>
        <v>1</v>
      </c>
      <c r="Y131">
        <f t="shared" ref="Y131:Y185" si="45">IF(H131="TE",1,0)</f>
        <v>0</v>
      </c>
      <c r="Z131">
        <f t="shared" ref="Z131:Z185" si="46">IF(OR(H131="RB",H131="WR",H131="TE"),1,0)</f>
        <v>1</v>
      </c>
      <c r="AA131">
        <v>1</v>
      </c>
      <c r="AB131">
        <f>VLOOKUP(F131,[1]pff_ppr_projections!$B:$D,3,FALSE)</f>
        <v>195.6</v>
      </c>
      <c r="AC131" s="1">
        <f>AVERAGE(AB131,AD131,AE131)</f>
        <v>147.57964792542973</v>
      </c>
      <c r="AD131">
        <f>VLOOKUP(F131,[3]rotoballer_ppr_projections!$B:$G,6,FALSE)</f>
        <v>137</v>
      </c>
      <c r="AE131">
        <f>VLOOKUP(F131,[4]ppr!$B:$E,4,FALSE)</f>
        <v>110.1389437762891</v>
      </c>
      <c r="AF131">
        <f>VLOOKUP(F131,[4]half_ppr!$B:$E,4,FALSE)</f>
        <v>92.282435381949099</v>
      </c>
      <c r="AG131">
        <f>VLOOKUP(F131,[4]std!$B:$E,4,FALSE)</f>
        <v>74.425926987609103</v>
      </c>
      <c r="AH131">
        <f>IFERROR(VLOOKUP(F131,[5]actual_week11_ppr_stats!$A:$B,2,FALSE),0)</f>
        <v>0</v>
      </c>
    </row>
    <row r="132" spans="1:34" x14ac:dyDescent="0.2">
      <c r="A132">
        <v>131</v>
      </c>
      <c r="B132">
        <v>14748</v>
      </c>
      <c r="C132" t="s">
        <v>164</v>
      </c>
      <c r="D132" t="str" cm="1">
        <f t="array" ref="D132:E132">_xlfn.TEXTSPLIT(C132, ", ")</f>
        <v>Goff</v>
      </c>
      <c r="E132" t="str">
        <v>Jared</v>
      </c>
      <c r="F132" t="str">
        <f t="shared" si="32"/>
        <v>Jared Goff</v>
      </c>
      <c r="G132" t="s">
        <v>14</v>
      </c>
      <c r="H132" t="s">
        <v>57</v>
      </c>
      <c r="I132">
        <v>130.75</v>
      </c>
      <c r="J132">
        <v>89</v>
      </c>
      <c r="K132">
        <v>181</v>
      </c>
      <c r="L132">
        <f>VLOOKUP(G132,byes!$A:$B,2,FALSE)</f>
        <v>8</v>
      </c>
      <c r="M132">
        <f t="shared" si="33"/>
        <v>0</v>
      </c>
      <c r="N132">
        <f t="shared" si="34"/>
        <v>0</v>
      </c>
      <c r="O132">
        <f t="shared" si="35"/>
        <v>0</v>
      </c>
      <c r="P132">
        <f t="shared" si="36"/>
        <v>1</v>
      </c>
      <c r="Q132">
        <f t="shared" si="37"/>
        <v>0</v>
      </c>
      <c r="R132">
        <f t="shared" si="38"/>
        <v>0</v>
      </c>
      <c r="S132">
        <f t="shared" si="39"/>
        <v>0</v>
      </c>
      <c r="T132">
        <f t="shared" si="40"/>
        <v>0</v>
      </c>
      <c r="U132">
        <f t="shared" si="41"/>
        <v>0</v>
      </c>
      <c r="V132">
        <f t="shared" si="42"/>
        <v>1</v>
      </c>
      <c r="W132">
        <f t="shared" si="43"/>
        <v>0</v>
      </c>
      <c r="X132">
        <f t="shared" si="44"/>
        <v>0</v>
      </c>
      <c r="Y132">
        <f t="shared" si="45"/>
        <v>0</v>
      </c>
      <c r="Z132">
        <f t="shared" si="46"/>
        <v>0</v>
      </c>
      <c r="AA132">
        <v>1</v>
      </c>
      <c r="AB132">
        <f>VLOOKUP(F132,[1]pff_ppr_projections!$B:$D,3,FALSE)</f>
        <v>276</v>
      </c>
      <c r="AC132">
        <f>VLOOKUP(F132,[2]numberFire_ppr_projections!$A:$B,2,FALSE)</f>
        <v>313.3</v>
      </c>
      <c r="AD132">
        <f>VLOOKUP(F132,[3]rotoballer_ppr_projections!$B:$G,6,FALSE)</f>
        <v>272</v>
      </c>
      <c r="AE132">
        <f>VLOOKUP(F132,[4]ppr!$B:$E,4,FALSE)</f>
        <v>289.17259219181915</v>
      </c>
      <c r="AF132">
        <f>VLOOKUP(F132,[4]half_ppr!$B:$E,4,FALSE)</f>
        <v>289.17259219181915</v>
      </c>
      <c r="AG132">
        <f>VLOOKUP(F132,[4]std!$B:$E,4,FALSE)</f>
        <v>289.17259219181915</v>
      </c>
      <c r="AH132">
        <f>IFERROR(VLOOKUP(F132,[5]actual_week11_ppr_stats!$A:$B,2,FALSE),0)</f>
        <v>181.8</v>
      </c>
    </row>
    <row r="133" spans="1:34" x14ac:dyDescent="0.2">
      <c r="A133">
        <v>132</v>
      </c>
      <c r="B133">
        <v>18785</v>
      </c>
      <c r="C133" t="s">
        <v>165</v>
      </c>
      <c r="D133" t="str" cm="1">
        <f t="array" ref="D133:E133">_xlfn.TEXTSPLIT(C133, ", ")</f>
        <v>Bateman</v>
      </c>
      <c r="E133" t="str">
        <v>Rashod</v>
      </c>
      <c r="F133" t="str">
        <f t="shared" si="32"/>
        <v>Rashod Bateman</v>
      </c>
      <c r="G133" t="s">
        <v>33</v>
      </c>
      <c r="H133" t="s">
        <v>9</v>
      </c>
      <c r="I133">
        <v>132.29</v>
      </c>
      <c r="J133">
        <v>97</v>
      </c>
      <c r="K133">
        <v>159</v>
      </c>
      <c r="L133">
        <f>VLOOKUP(G133,byes!$A:$B,2,FALSE)</f>
        <v>7</v>
      </c>
      <c r="M133">
        <f t="shared" si="33"/>
        <v>0</v>
      </c>
      <c r="N133">
        <f t="shared" si="34"/>
        <v>0</v>
      </c>
      <c r="O133">
        <f t="shared" si="35"/>
        <v>1</v>
      </c>
      <c r="P133">
        <f t="shared" si="36"/>
        <v>0</v>
      </c>
      <c r="Q133">
        <f t="shared" si="37"/>
        <v>0</v>
      </c>
      <c r="R133">
        <f t="shared" si="38"/>
        <v>0</v>
      </c>
      <c r="S133">
        <f t="shared" si="39"/>
        <v>0</v>
      </c>
      <c r="T133">
        <f t="shared" si="40"/>
        <v>0</v>
      </c>
      <c r="U133">
        <f t="shared" si="41"/>
        <v>0</v>
      </c>
      <c r="V133">
        <f t="shared" si="42"/>
        <v>0</v>
      </c>
      <c r="W133">
        <f t="shared" si="43"/>
        <v>0</v>
      </c>
      <c r="X133">
        <f t="shared" si="44"/>
        <v>1</v>
      </c>
      <c r="Y133">
        <f t="shared" si="45"/>
        <v>0</v>
      </c>
      <c r="Z133">
        <f t="shared" si="46"/>
        <v>1</v>
      </c>
      <c r="AA133">
        <f t="shared" ref="AA133:AA193" si="47">IF(OR(H133="RB",H133="WR",H133="TE", H133="QB"),1,0)</f>
        <v>1</v>
      </c>
      <c r="AB133">
        <f>VLOOKUP(F133,[1]pff_ppr_projections!$B:$D,3,FALSE)</f>
        <v>145.19999999999999</v>
      </c>
      <c r="AC133">
        <f>VLOOKUP(F133,[2]numberFire_ppr_projections!$A:$B,2,FALSE)</f>
        <v>139.19999999999999</v>
      </c>
      <c r="AD133">
        <f>VLOOKUP(F133,[3]rotoballer_ppr_projections!$B:$G,6,FALSE)</f>
        <v>148</v>
      </c>
      <c r="AE133">
        <f>VLOOKUP(F133,[4]ppr!$B:$E,4,FALSE)</f>
        <v>128.28549989214955</v>
      </c>
      <c r="AF133">
        <f>VLOOKUP(F133,[4]half_ppr!$B:$E,4,FALSE)</f>
        <v>107.46669108134955</v>
      </c>
      <c r="AG133">
        <f>VLOOKUP(F133,[4]std!$B:$E,4,FALSE)</f>
        <v>86.647882270549559</v>
      </c>
      <c r="AH133">
        <f>IFERROR(VLOOKUP(F133,[5]actual_week11_ppr_stats!$A:$B,2,FALSE),0)</f>
        <v>47.4</v>
      </c>
    </row>
    <row r="134" spans="1:34" x14ac:dyDescent="0.2">
      <c r="A134">
        <v>133</v>
      </c>
      <c r="B134">
        <v>19476</v>
      </c>
      <c r="C134" t="s">
        <v>166</v>
      </c>
      <c r="D134" t="str" cm="1">
        <f t="array" ref="D134:E134">_xlfn.TEXTSPLIT(C134, ", ")</f>
        <v>Ferguson</v>
      </c>
      <c r="E134" t="str">
        <v>Jake</v>
      </c>
      <c r="F134" t="str">
        <f t="shared" si="32"/>
        <v>Jake Ferguson</v>
      </c>
      <c r="G134" t="s">
        <v>16</v>
      </c>
      <c r="H134" t="s">
        <v>47</v>
      </c>
      <c r="I134">
        <v>133.5</v>
      </c>
      <c r="J134">
        <v>98</v>
      </c>
      <c r="K134">
        <v>163</v>
      </c>
      <c r="L134">
        <f>VLOOKUP(G134,byes!$A:$B,2,FALSE)</f>
        <v>10</v>
      </c>
      <c r="M134">
        <f t="shared" si="33"/>
        <v>0</v>
      </c>
      <c r="N134">
        <f t="shared" si="34"/>
        <v>0</v>
      </c>
      <c r="O134">
        <f t="shared" si="35"/>
        <v>0</v>
      </c>
      <c r="P134">
        <f t="shared" si="36"/>
        <v>0</v>
      </c>
      <c r="Q134">
        <f t="shared" si="37"/>
        <v>0</v>
      </c>
      <c r="R134">
        <f t="shared" si="38"/>
        <v>1</v>
      </c>
      <c r="S134">
        <f t="shared" si="39"/>
        <v>0</v>
      </c>
      <c r="T134">
        <f t="shared" si="40"/>
        <v>0</v>
      </c>
      <c r="U134">
        <f t="shared" si="41"/>
        <v>0</v>
      </c>
      <c r="V134">
        <f t="shared" si="42"/>
        <v>0</v>
      </c>
      <c r="W134">
        <f t="shared" si="43"/>
        <v>0</v>
      </c>
      <c r="X134">
        <f t="shared" si="44"/>
        <v>0</v>
      </c>
      <c r="Y134">
        <f t="shared" si="45"/>
        <v>1</v>
      </c>
      <c r="Z134">
        <f t="shared" si="46"/>
        <v>1</v>
      </c>
      <c r="AA134">
        <v>1</v>
      </c>
      <c r="AB134">
        <f>VLOOKUP(F134,[1]pff_ppr_projections!$B:$D,3,FALSE)</f>
        <v>146.30000000000001</v>
      </c>
      <c r="AC134">
        <f>VLOOKUP(F134,[2]numberFire_ppr_projections!$A:$B,2,FALSE)</f>
        <v>150.4</v>
      </c>
      <c r="AD134">
        <f>VLOOKUP(F134,[3]rotoballer_ppr_projections!$B:$G,6,FALSE)</f>
        <v>148</v>
      </c>
      <c r="AE134">
        <f>VLOOKUP(F134,[4]ppr!$B:$E,4,FALSE)</f>
        <v>177.99601746074325</v>
      </c>
      <c r="AF134">
        <f>VLOOKUP(F134,[4]half_ppr!$B:$E,4,FALSE)</f>
        <v>142.749281329903</v>
      </c>
      <c r="AG134">
        <f>VLOOKUP(F134,[4]std!$B:$E,4,FALSE)</f>
        <v>107.50254519906275</v>
      </c>
      <c r="AH134">
        <f>IFERROR(VLOOKUP(F134,[5]actual_week11_ppr_stats!$A:$B,2,FALSE),0)</f>
        <v>142</v>
      </c>
    </row>
    <row r="135" spans="1:34" x14ac:dyDescent="0.2">
      <c r="A135">
        <v>134</v>
      </c>
      <c r="B135">
        <v>21151</v>
      </c>
      <c r="C135" t="s">
        <v>167</v>
      </c>
      <c r="D135" t="str" cm="1">
        <f t="array" ref="D135:E135">_xlfn.TEXTSPLIT(C135, ", ")</f>
        <v>Davis</v>
      </c>
      <c r="E135" t="str">
        <v>Ray</v>
      </c>
      <c r="F135" t="str">
        <f t="shared" si="32"/>
        <v>Ray Davis</v>
      </c>
      <c r="G135" t="s">
        <v>60</v>
      </c>
      <c r="H135" t="s">
        <v>12</v>
      </c>
      <c r="I135">
        <v>133.63</v>
      </c>
      <c r="J135">
        <v>74</v>
      </c>
      <c r="K135">
        <v>162</v>
      </c>
      <c r="L135">
        <f>VLOOKUP(G135,byes!$A:$B,2,FALSE)</f>
        <v>7</v>
      </c>
      <c r="M135">
        <f t="shared" si="33"/>
        <v>0</v>
      </c>
      <c r="N135">
        <f t="shared" si="34"/>
        <v>0</v>
      </c>
      <c r="O135">
        <f t="shared" si="35"/>
        <v>1</v>
      </c>
      <c r="P135">
        <f t="shared" si="36"/>
        <v>0</v>
      </c>
      <c r="Q135">
        <f t="shared" si="37"/>
        <v>0</v>
      </c>
      <c r="R135">
        <f t="shared" si="38"/>
        <v>0</v>
      </c>
      <c r="S135">
        <f t="shared" si="39"/>
        <v>0</v>
      </c>
      <c r="T135">
        <f t="shared" si="40"/>
        <v>0</v>
      </c>
      <c r="U135">
        <f t="shared" si="41"/>
        <v>0</v>
      </c>
      <c r="V135">
        <f t="shared" si="42"/>
        <v>0</v>
      </c>
      <c r="W135">
        <f t="shared" si="43"/>
        <v>1</v>
      </c>
      <c r="X135">
        <f t="shared" si="44"/>
        <v>0</v>
      </c>
      <c r="Y135">
        <f t="shared" si="45"/>
        <v>0</v>
      </c>
      <c r="Z135">
        <f t="shared" si="46"/>
        <v>1</v>
      </c>
      <c r="AA135">
        <v>1</v>
      </c>
      <c r="AB135">
        <f>VLOOKUP(F135,[1]pff_ppr_projections!$B:$D,3,FALSE)</f>
        <v>102.6</v>
      </c>
      <c r="AC135">
        <f>VLOOKUP(F135,[2]numberFire_ppr_projections!$A:$B,2,FALSE)</f>
        <v>84.1</v>
      </c>
      <c r="AD135">
        <f>VLOOKUP(F135,[3]rotoballer_ppr_projections!$B:$G,6,FALSE)</f>
        <v>97</v>
      </c>
      <c r="AE135">
        <f>VLOOKUP(F135,[4]ppr!$B:$E,4,FALSE)</f>
        <v>101.26049063864644</v>
      </c>
      <c r="AF135">
        <f>VLOOKUP(F135,[4]half_ppr!$B:$E,4,FALSE)</f>
        <v>97.064594235486453</v>
      </c>
      <c r="AG135">
        <f>VLOOKUP(F135,[4]std!$B:$E,4,FALSE)</f>
        <v>92.868697832326447</v>
      </c>
      <c r="AH135">
        <f>IFERROR(VLOOKUP(F135,[5]actual_week11_ppr_stats!$A:$B,2,FALSE),0)</f>
        <v>16.2</v>
      </c>
    </row>
    <row r="136" spans="1:34" x14ac:dyDescent="0.2">
      <c r="A136">
        <v>135</v>
      </c>
      <c r="B136">
        <v>17007</v>
      </c>
      <c r="C136" t="s">
        <v>168</v>
      </c>
      <c r="D136" t="str" cm="1">
        <f t="array" ref="D136:E136">_xlfn.TEXTSPLIT(C136, ", ")</f>
        <v>Brown</v>
      </c>
      <c r="E136" t="str">
        <v>Hollywood</v>
      </c>
      <c r="F136" t="str">
        <f t="shared" si="32"/>
        <v>Hollywood Brown</v>
      </c>
      <c r="G136" t="s">
        <v>75</v>
      </c>
      <c r="H136" t="s">
        <v>9</v>
      </c>
      <c r="I136">
        <v>133.83000000000001</v>
      </c>
      <c r="J136">
        <v>102</v>
      </c>
      <c r="K136">
        <v>163</v>
      </c>
      <c r="L136">
        <f>VLOOKUP(G136,byes!$A:$B,2,FALSE)</f>
        <v>10</v>
      </c>
      <c r="M136">
        <f t="shared" si="33"/>
        <v>0</v>
      </c>
      <c r="N136">
        <f t="shared" si="34"/>
        <v>0</v>
      </c>
      <c r="O136">
        <f t="shared" si="35"/>
        <v>0</v>
      </c>
      <c r="P136">
        <f t="shared" si="36"/>
        <v>0</v>
      </c>
      <c r="Q136">
        <f t="shared" si="37"/>
        <v>0</v>
      </c>
      <c r="R136">
        <f t="shared" si="38"/>
        <v>1</v>
      </c>
      <c r="S136">
        <f t="shared" si="39"/>
        <v>0</v>
      </c>
      <c r="T136">
        <f t="shared" si="40"/>
        <v>0</v>
      </c>
      <c r="U136">
        <f t="shared" si="41"/>
        <v>0</v>
      </c>
      <c r="V136">
        <f t="shared" si="42"/>
        <v>0</v>
      </c>
      <c r="W136">
        <f t="shared" si="43"/>
        <v>0</v>
      </c>
      <c r="X136">
        <f t="shared" si="44"/>
        <v>1</v>
      </c>
      <c r="Y136">
        <f t="shared" si="45"/>
        <v>0</v>
      </c>
      <c r="Z136">
        <f t="shared" si="46"/>
        <v>1</v>
      </c>
      <c r="AA136">
        <v>1</v>
      </c>
      <c r="AB136">
        <f>VLOOKUP(F136,[1]pff_ppr_projections!$B:$D,3,FALSE)</f>
        <v>157.80000000000001</v>
      </c>
      <c r="AC136">
        <f>VLOOKUP(F136,[2]numberFire_ppr_projections!$A:$B,2,FALSE)</f>
        <v>146.1</v>
      </c>
      <c r="AD136">
        <f>VLOOKUP(F136,[3]rotoballer_ppr_projections!$B:$G,6,FALSE)</f>
        <v>140</v>
      </c>
      <c r="AE136">
        <f>VLOOKUP(F136,[4]ppr!$B:$E,4,FALSE)</f>
        <v>81.27635347124999</v>
      </c>
      <c r="AF136">
        <f>VLOOKUP(F136,[4]half_ppr!$B:$E,4,FALSE)</f>
        <v>67.311344283749989</v>
      </c>
      <c r="AG136">
        <f>VLOOKUP(F136,[4]std!$B:$E,4,FALSE)</f>
        <v>53.346335096249994</v>
      </c>
      <c r="AH136">
        <f>IFERROR(VLOOKUP(F136,[5]actual_week11_ppr_stats!$A:$B,2,FALSE),0)</f>
        <v>104.9</v>
      </c>
    </row>
    <row r="137" spans="1:34" x14ac:dyDescent="0.2">
      <c r="A137">
        <v>136</v>
      </c>
      <c r="B137">
        <v>21125</v>
      </c>
      <c r="C137" t="s">
        <v>169</v>
      </c>
      <c r="D137" t="str" cm="1">
        <f t="array" ref="D137:E137">_xlfn.TEXTSPLIT(C137, ", ")</f>
        <v>Maye</v>
      </c>
      <c r="E137" t="str">
        <v>Drake</v>
      </c>
      <c r="F137" t="str">
        <f t="shared" si="32"/>
        <v>Drake Maye</v>
      </c>
      <c r="G137" t="s">
        <v>64</v>
      </c>
      <c r="H137" t="s">
        <v>57</v>
      </c>
      <c r="I137">
        <v>134.16999999999999</v>
      </c>
      <c r="J137">
        <v>94</v>
      </c>
      <c r="K137">
        <v>174</v>
      </c>
      <c r="L137">
        <f>VLOOKUP(G137,byes!$A:$B,2,FALSE)</f>
        <v>14</v>
      </c>
      <c r="M137">
        <f t="shared" si="33"/>
        <v>0</v>
      </c>
      <c r="N137">
        <f t="shared" si="34"/>
        <v>0</v>
      </c>
      <c r="O137">
        <f t="shared" si="35"/>
        <v>0</v>
      </c>
      <c r="P137">
        <f t="shared" si="36"/>
        <v>0</v>
      </c>
      <c r="Q137">
        <f t="shared" si="37"/>
        <v>0</v>
      </c>
      <c r="R137">
        <f t="shared" si="38"/>
        <v>0</v>
      </c>
      <c r="S137">
        <f t="shared" si="39"/>
        <v>0</v>
      </c>
      <c r="T137">
        <f t="shared" si="40"/>
        <v>0</v>
      </c>
      <c r="U137">
        <f t="shared" si="41"/>
        <v>1</v>
      </c>
      <c r="V137">
        <f t="shared" si="42"/>
        <v>1</v>
      </c>
      <c r="W137">
        <f t="shared" si="43"/>
        <v>0</v>
      </c>
      <c r="X137">
        <f t="shared" si="44"/>
        <v>0</v>
      </c>
      <c r="Y137">
        <f t="shared" si="45"/>
        <v>0</v>
      </c>
      <c r="Z137">
        <f t="shared" si="46"/>
        <v>0</v>
      </c>
      <c r="AA137">
        <f t="shared" si="47"/>
        <v>1</v>
      </c>
      <c r="AB137">
        <f>VLOOKUP(F137,[1]pff_ppr_projections!$B:$D,3,FALSE)</f>
        <v>249.3</v>
      </c>
      <c r="AC137" s="1">
        <f>AVERAGE(AB137,AD137,AE137)</f>
        <v>267.95318415680532</v>
      </c>
      <c r="AD137">
        <f>VLOOKUP(F137,[3]rotoballer_ppr_projections!$B:$G,6,FALSE)</f>
        <v>262</v>
      </c>
      <c r="AE137">
        <f>VLOOKUP(F137,[4]ppr!$B:$E,4,FALSE)</f>
        <v>292.55955247041601</v>
      </c>
      <c r="AF137">
        <f>VLOOKUP(F137,[4]half_ppr!$B:$E,4,FALSE)</f>
        <v>292.55955247041601</v>
      </c>
      <c r="AG137">
        <f>VLOOKUP(F137,[4]std!$B:$E,4,FALSE)</f>
        <v>292.55955247041601</v>
      </c>
      <c r="AH137">
        <f>IFERROR(VLOOKUP(F137,[5]actual_week11_ppr_stats!$A:$B,2,FALSE),0)</f>
        <v>228.9</v>
      </c>
    </row>
    <row r="138" spans="1:34" x14ac:dyDescent="0.2">
      <c r="A138">
        <v>137</v>
      </c>
      <c r="B138">
        <v>21124</v>
      </c>
      <c r="C138" t="s">
        <v>170</v>
      </c>
      <c r="D138" t="str" cm="1">
        <f t="array" ref="D138:E138">_xlfn.TEXTSPLIT(C138, ", ")</f>
        <v>Williams</v>
      </c>
      <c r="E138" t="str">
        <v>Caleb</v>
      </c>
      <c r="F138" t="str">
        <f t="shared" si="32"/>
        <v>Caleb Williams</v>
      </c>
      <c r="G138" t="s">
        <v>86</v>
      </c>
      <c r="H138" t="s">
        <v>57</v>
      </c>
      <c r="I138">
        <v>134.85</v>
      </c>
      <c r="J138">
        <v>96</v>
      </c>
      <c r="K138">
        <v>170</v>
      </c>
      <c r="L138">
        <f>VLOOKUP(G138,byes!$A:$B,2,FALSE)</f>
        <v>5</v>
      </c>
      <c r="M138">
        <f t="shared" si="33"/>
        <v>1</v>
      </c>
      <c r="N138">
        <f t="shared" si="34"/>
        <v>0</v>
      </c>
      <c r="O138">
        <f t="shared" si="35"/>
        <v>0</v>
      </c>
      <c r="P138">
        <f t="shared" si="36"/>
        <v>0</v>
      </c>
      <c r="Q138">
        <f t="shared" si="37"/>
        <v>0</v>
      </c>
      <c r="R138">
        <f t="shared" si="38"/>
        <v>0</v>
      </c>
      <c r="S138">
        <f t="shared" si="39"/>
        <v>0</v>
      </c>
      <c r="T138">
        <f t="shared" si="40"/>
        <v>0</v>
      </c>
      <c r="U138">
        <f t="shared" si="41"/>
        <v>0</v>
      </c>
      <c r="V138">
        <f t="shared" si="42"/>
        <v>1</v>
      </c>
      <c r="W138">
        <f t="shared" si="43"/>
        <v>0</v>
      </c>
      <c r="X138">
        <f t="shared" si="44"/>
        <v>0</v>
      </c>
      <c r="Y138">
        <f t="shared" si="45"/>
        <v>0</v>
      </c>
      <c r="Z138">
        <f t="shared" si="46"/>
        <v>0</v>
      </c>
      <c r="AA138">
        <v>1</v>
      </c>
      <c r="AB138">
        <f>VLOOKUP(F138,[1]pff_ppr_projections!$B:$D,3,FALSE)</f>
        <v>240.2</v>
      </c>
      <c r="AC138">
        <f>VLOOKUP(F138,[2]numberFire_ppr_projections!$A:$B,2,FALSE)</f>
        <v>275</v>
      </c>
      <c r="AD138">
        <f>VLOOKUP(F138,[3]rotoballer_ppr_projections!$B:$G,6,FALSE)</f>
        <v>270</v>
      </c>
      <c r="AE138">
        <f>VLOOKUP(F138,[4]ppr!$B:$E,4,FALSE)</f>
        <v>313.3672233874517</v>
      </c>
      <c r="AF138">
        <f>VLOOKUP(F138,[4]half_ppr!$B:$E,4,FALSE)</f>
        <v>313.3672233874517</v>
      </c>
      <c r="AG138">
        <f>VLOOKUP(F138,[4]std!$B:$E,4,FALSE)</f>
        <v>313.3672233874517</v>
      </c>
      <c r="AH138">
        <f>IFERROR(VLOOKUP(F138,[5]actual_week11_ppr_stats!$A:$B,2,FALSE),0)</f>
        <v>186.4</v>
      </c>
    </row>
    <row r="139" spans="1:34" x14ac:dyDescent="0.2">
      <c r="A139">
        <v>138</v>
      </c>
      <c r="B139">
        <v>20290</v>
      </c>
      <c r="C139" t="s">
        <v>171</v>
      </c>
      <c r="D139" t="str" cm="1">
        <f t="array" ref="D139:E139">_xlfn.TEXTSPLIT(C139, ", ")</f>
        <v>Tillman</v>
      </c>
      <c r="E139" t="str">
        <v>Cedric</v>
      </c>
      <c r="F139" t="str">
        <f t="shared" si="32"/>
        <v>Cedric Tillman</v>
      </c>
      <c r="G139" t="s">
        <v>102</v>
      </c>
      <c r="H139" t="s">
        <v>9</v>
      </c>
      <c r="I139">
        <v>135.15</v>
      </c>
      <c r="J139">
        <v>109</v>
      </c>
      <c r="K139">
        <v>166</v>
      </c>
      <c r="L139">
        <f>VLOOKUP(G139,byes!$A:$B,2,FALSE)</f>
        <v>9</v>
      </c>
      <c r="M139">
        <f t="shared" si="33"/>
        <v>0</v>
      </c>
      <c r="N139">
        <f t="shared" si="34"/>
        <v>0</v>
      </c>
      <c r="O139">
        <f t="shared" si="35"/>
        <v>0</v>
      </c>
      <c r="P139">
        <f t="shared" si="36"/>
        <v>0</v>
      </c>
      <c r="Q139">
        <f t="shared" si="37"/>
        <v>1</v>
      </c>
      <c r="R139">
        <f t="shared" si="38"/>
        <v>0</v>
      </c>
      <c r="S139">
        <f t="shared" si="39"/>
        <v>0</v>
      </c>
      <c r="T139">
        <f t="shared" si="40"/>
        <v>0</v>
      </c>
      <c r="U139">
        <f t="shared" si="41"/>
        <v>0</v>
      </c>
      <c r="V139">
        <f t="shared" si="42"/>
        <v>0</v>
      </c>
      <c r="W139">
        <f t="shared" si="43"/>
        <v>0</v>
      </c>
      <c r="X139">
        <f t="shared" si="44"/>
        <v>1</v>
      </c>
      <c r="Y139">
        <f t="shared" si="45"/>
        <v>0</v>
      </c>
      <c r="Z139">
        <f t="shared" si="46"/>
        <v>1</v>
      </c>
      <c r="AA139">
        <v>1</v>
      </c>
      <c r="AB139">
        <f>VLOOKUP(F139,[1]pff_ppr_projections!$B:$D,3,FALSE)</f>
        <v>189.5</v>
      </c>
      <c r="AC139">
        <f>VLOOKUP(F139,[2]numberFire_ppr_projections!$A:$B,2,FALSE)</f>
        <v>139.6</v>
      </c>
      <c r="AD139">
        <f>VLOOKUP(F139,[3]rotoballer_ppr_projections!$B:$G,6,FALSE)</f>
        <v>158</v>
      </c>
      <c r="AE139">
        <f>VLOOKUP(F139,[4]ppr!$B:$E,4,FALSE)</f>
        <v>178.24487040360003</v>
      </c>
      <c r="AF139">
        <f>VLOOKUP(F139,[4]half_ppr!$B:$E,4,FALSE)</f>
        <v>145.59928974360002</v>
      </c>
      <c r="AG139">
        <f>VLOOKUP(F139,[4]std!$B:$E,4,FALSE)</f>
        <v>112.95370908360002</v>
      </c>
      <c r="AH139">
        <f>IFERROR(VLOOKUP(F139,[5]actual_week11_ppr_stats!$A:$B,2,FALSE),0)</f>
        <v>44.9</v>
      </c>
    </row>
    <row r="140" spans="1:34" x14ac:dyDescent="0.2">
      <c r="A140">
        <v>139</v>
      </c>
      <c r="B140">
        <v>20300</v>
      </c>
      <c r="C140" t="s">
        <v>172</v>
      </c>
      <c r="D140" t="str" cm="1">
        <f t="array" ref="D140:E140">_xlfn.TEXTSPLIT(C140, ", ")</f>
        <v>Kincaid</v>
      </c>
      <c r="E140" t="str">
        <v>Dalton</v>
      </c>
      <c r="F140" t="str">
        <f t="shared" si="32"/>
        <v>Dalton Kincaid</v>
      </c>
      <c r="G140" t="s">
        <v>60</v>
      </c>
      <c r="H140" t="s">
        <v>47</v>
      </c>
      <c r="I140">
        <v>139.69999999999999</v>
      </c>
      <c r="J140">
        <v>105</v>
      </c>
      <c r="K140">
        <v>179</v>
      </c>
      <c r="L140">
        <f>VLOOKUP(G140,byes!$A:$B,2,FALSE)</f>
        <v>7</v>
      </c>
      <c r="M140">
        <f t="shared" si="33"/>
        <v>0</v>
      </c>
      <c r="N140">
        <f t="shared" si="34"/>
        <v>0</v>
      </c>
      <c r="O140">
        <f t="shared" si="35"/>
        <v>1</v>
      </c>
      <c r="P140">
        <f t="shared" si="36"/>
        <v>0</v>
      </c>
      <c r="Q140">
        <f t="shared" si="37"/>
        <v>0</v>
      </c>
      <c r="R140">
        <f t="shared" si="38"/>
        <v>0</v>
      </c>
      <c r="S140">
        <f t="shared" si="39"/>
        <v>0</v>
      </c>
      <c r="T140">
        <f t="shared" si="40"/>
        <v>0</v>
      </c>
      <c r="U140">
        <f t="shared" si="41"/>
        <v>0</v>
      </c>
      <c r="V140">
        <f t="shared" si="42"/>
        <v>0</v>
      </c>
      <c r="W140">
        <f t="shared" si="43"/>
        <v>0</v>
      </c>
      <c r="X140">
        <f t="shared" si="44"/>
        <v>0</v>
      </c>
      <c r="Y140">
        <f t="shared" si="45"/>
        <v>1</v>
      </c>
      <c r="Z140">
        <f t="shared" si="46"/>
        <v>1</v>
      </c>
      <c r="AA140">
        <v>1</v>
      </c>
      <c r="AB140">
        <f>VLOOKUP(F140,[1]pff_ppr_projections!$B:$D,3,FALSE)</f>
        <v>150</v>
      </c>
      <c r="AC140">
        <f>VLOOKUP(F140,[2]numberFire_ppr_projections!$A:$B,2,FALSE)</f>
        <v>142.69999999999999</v>
      </c>
      <c r="AD140">
        <f>VLOOKUP(F140,[3]rotoballer_ppr_projections!$B:$G,6,FALSE)</f>
        <v>144</v>
      </c>
      <c r="AE140">
        <f>VLOOKUP(F140,[4]ppr!$B:$E,4,FALSE)</f>
        <v>148.17980919964373</v>
      </c>
      <c r="AF140">
        <f>VLOOKUP(F140,[4]half_ppr!$B:$E,4,FALSE)</f>
        <v>119.93356268808375</v>
      </c>
      <c r="AG140">
        <f>VLOOKUP(F140,[4]std!$B:$E,4,FALSE)</f>
        <v>91.687316176523751</v>
      </c>
      <c r="AH140">
        <f>IFERROR(VLOOKUP(F140,[5]actual_week11_ppr_stats!$A:$B,2,FALSE),0)</f>
        <v>97.8</v>
      </c>
    </row>
    <row r="141" spans="1:34" x14ac:dyDescent="0.2">
      <c r="A141">
        <v>140</v>
      </c>
      <c r="B141">
        <v>18783</v>
      </c>
      <c r="C141" t="s">
        <v>173</v>
      </c>
      <c r="D141" t="str" cm="1">
        <f t="array" ref="D141:E141">_xlfn.TEXTSPLIT(C141, ", ")</f>
        <v>Fields</v>
      </c>
      <c r="E141" t="str">
        <v>Justin</v>
      </c>
      <c r="F141" t="str">
        <f t="shared" si="32"/>
        <v>Justin Fields</v>
      </c>
      <c r="G141" t="s">
        <v>62</v>
      </c>
      <c r="H141" t="s">
        <v>57</v>
      </c>
      <c r="I141">
        <v>143.86000000000001</v>
      </c>
      <c r="J141">
        <v>100</v>
      </c>
      <c r="K141">
        <v>197</v>
      </c>
      <c r="L141">
        <f>VLOOKUP(G141,byes!$A:$B,2,FALSE)</f>
        <v>9</v>
      </c>
      <c r="M141">
        <f t="shared" si="33"/>
        <v>0</v>
      </c>
      <c r="N141">
        <f t="shared" si="34"/>
        <v>0</v>
      </c>
      <c r="O141">
        <f t="shared" si="35"/>
        <v>0</v>
      </c>
      <c r="P141">
        <f t="shared" si="36"/>
        <v>0</v>
      </c>
      <c r="Q141">
        <f t="shared" si="37"/>
        <v>1</v>
      </c>
      <c r="R141">
        <f t="shared" si="38"/>
        <v>0</v>
      </c>
      <c r="S141">
        <f t="shared" si="39"/>
        <v>0</v>
      </c>
      <c r="T141">
        <f t="shared" si="40"/>
        <v>0</v>
      </c>
      <c r="U141">
        <f t="shared" si="41"/>
        <v>0</v>
      </c>
      <c r="V141">
        <f t="shared" si="42"/>
        <v>1</v>
      </c>
      <c r="W141">
        <f t="shared" si="43"/>
        <v>0</v>
      </c>
      <c r="X141">
        <f t="shared" si="44"/>
        <v>0</v>
      </c>
      <c r="Y141">
        <f t="shared" si="45"/>
        <v>0</v>
      </c>
      <c r="Z141">
        <f t="shared" si="46"/>
        <v>0</v>
      </c>
      <c r="AA141">
        <f t="shared" si="47"/>
        <v>1</v>
      </c>
      <c r="AB141">
        <f>VLOOKUP(F141,[1]pff_ppr_projections!$B:$D,3,FALSE)</f>
        <v>277.8</v>
      </c>
      <c r="AC141">
        <f>VLOOKUP(F141,[2]numberFire_ppr_projections!$A:$B,2,FALSE)</f>
        <v>285.5</v>
      </c>
      <c r="AD141">
        <f>VLOOKUP(F141,[3]rotoballer_ppr_projections!$B:$G,6,FALSE)</f>
        <v>287</v>
      </c>
      <c r="AE141">
        <f>VLOOKUP(F141,[4]ppr!$B:$E,4,FALSE)</f>
        <v>333.85194577125975</v>
      </c>
      <c r="AF141">
        <f>VLOOKUP(F141,[4]half_ppr!$B:$E,4,FALSE)</f>
        <v>333.85194577125975</v>
      </c>
      <c r="AG141">
        <f>VLOOKUP(F141,[4]std!$B:$E,4,FALSE)</f>
        <v>333.85194577125975</v>
      </c>
      <c r="AH141">
        <f>IFERROR(VLOOKUP(F141,[5]actual_week11_ppr_stats!$A:$B,2,FALSE),0)</f>
        <v>139.69999999999999</v>
      </c>
    </row>
    <row r="142" spans="1:34" x14ac:dyDescent="0.2">
      <c r="A142">
        <v>141</v>
      </c>
      <c r="B142">
        <v>20341</v>
      </c>
      <c r="C142" t="s">
        <v>174</v>
      </c>
      <c r="D142" t="str" cm="1">
        <f t="array" ref="D142:E142">_xlfn.TEXTSPLIT(C142, ", ")</f>
        <v>Douglas</v>
      </c>
      <c r="E142" t="str">
        <v>DeMario</v>
      </c>
      <c r="F142" t="str">
        <f t="shared" si="32"/>
        <v>DeMario Douglas</v>
      </c>
      <c r="G142" t="s">
        <v>64</v>
      </c>
      <c r="H142" t="s">
        <v>9</v>
      </c>
      <c r="I142">
        <v>143.94999999999999</v>
      </c>
      <c r="J142">
        <v>99</v>
      </c>
      <c r="K142">
        <v>183</v>
      </c>
      <c r="L142">
        <f>VLOOKUP(G142,byes!$A:$B,2,FALSE)</f>
        <v>14</v>
      </c>
      <c r="M142">
        <f t="shared" si="33"/>
        <v>0</v>
      </c>
      <c r="N142">
        <f t="shared" si="34"/>
        <v>0</v>
      </c>
      <c r="O142">
        <f t="shared" si="35"/>
        <v>0</v>
      </c>
      <c r="P142">
        <f t="shared" si="36"/>
        <v>0</v>
      </c>
      <c r="Q142">
        <f t="shared" si="37"/>
        <v>0</v>
      </c>
      <c r="R142">
        <f t="shared" si="38"/>
        <v>0</v>
      </c>
      <c r="S142">
        <f t="shared" si="39"/>
        <v>0</v>
      </c>
      <c r="T142">
        <f t="shared" si="40"/>
        <v>0</v>
      </c>
      <c r="U142">
        <f t="shared" si="41"/>
        <v>1</v>
      </c>
      <c r="V142">
        <f t="shared" si="42"/>
        <v>0</v>
      </c>
      <c r="W142">
        <f t="shared" si="43"/>
        <v>0</v>
      </c>
      <c r="X142">
        <f t="shared" si="44"/>
        <v>1</v>
      </c>
      <c r="Y142">
        <f t="shared" si="45"/>
        <v>0</v>
      </c>
      <c r="Z142">
        <f t="shared" si="46"/>
        <v>1</v>
      </c>
      <c r="AA142">
        <v>1</v>
      </c>
      <c r="AB142">
        <f>VLOOKUP(F142,[1]pff_ppr_projections!$B:$D,3,FALSE)</f>
        <v>144.5</v>
      </c>
      <c r="AC142" s="1">
        <f>AVERAGE(AB142,AD142,AE142)</f>
        <v>148.4947165795904</v>
      </c>
      <c r="AD142">
        <f>VLOOKUP(F142,[3]rotoballer_ppr_projections!$B:$G,6,FALSE)</f>
        <v>145</v>
      </c>
      <c r="AE142">
        <f>VLOOKUP(F142,[4]ppr!$B:$E,4,FALSE)</f>
        <v>155.98414973877121</v>
      </c>
      <c r="AF142">
        <f>VLOOKUP(F142,[4]half_ppr!$B:$E,4,FALSE)</f>
        <v>124.0463631419712</v>
      </c>
      <c r="AG142">
        <f>VLOOKUP(F142,[4]std!$B:$E,4,FALSE)</f>
        <v>92.108576545171189</v>
      </c>
      <c r="AH142">
        <f>IFERROR(VLOOKUP(F142,[5]actual_week11_ppr_stats!$A:$B,2,FALSE),0)</f>
        <v>74.400000000000006</v>
      </c>
    </row>
    <row r="143" spans="1:34" x14ac:dyDescent="0.2">
      <c r="A143">
        <v>142</v>
      </c>
      <c r="B143">
        <v>19441</v>
      </c>
      <c r="C143" t="s">
        <v>175</v>
      </c>
      <c r="D143" t="str" cm="1">
        <f t="array" ref="D143:E143">_xlfn.TEXTSPLIT(C143, ", ")</f>
        <v>Allgeier</v>
      </c>
      <c r="E143" t="str">
        <v>Tyler</v>
      </c>
      <c r="F143" t="str">
        <f t="shared" si="32"/>
        <v>Tyler Allgeier</v>
      </c>
      <c r="G143" t="s">
        <v>11</v>
      </c>
      <c r="H143" t="s">
        <v>12</v>
      </c>
      <c r="I143">
        <v>144.44999999999999</v>
      </c>
      <c r="J143">
        <v>107</v>
      </c>
      <c r="K143">
        <v>176</v>
      </c>
      <c r="L143">
        <f>VLOOKUP(G143,byes!$A:$B,2,FALSE)</f>
        <v>5</v>
      </c>
      <c r="M143">
        <f t="shared" si="33"/>
        <v>1</v>
      </c>
      <c r="N143">
        <f t="shared" si="34"/>
        <v>0</v>
      </c>
      <c r="O143">
        <f t="shared" si="35"/>
        <v>0</v>
      </c>
      <c r="P143">
        <f t="shared" si="36"/>
        <v>0</v>
      </c>
      <c r="Q143">
        <f t="shared" si="37"/>
        <v>0</v>
      </c>
      <c r="R143">
        <f t="shared" si="38"/>
        <v>0</v>
      </c>
      <c r="S143">
        <f t="shared" si="39"/>
        <v>0</v>
      </c>
      <c r="T143">
        <f t="shared" si="40"/>
        <v>0</v>
      </c>
      <c r="U143">
        <f t="shared" si="41"/>
        <v>0</v>
      </c>
      <c r="V143">
        <f t="shared" si="42"/>
        <v>0</v>
      </c>
      <c r="W143">
        <f t="shared" si="43"/>
        <v>1</v>
      </c>
      <c r="X143">
        <f t="shared" si="44"/>
        <v>0</v>
      </c>
      <c r="Y143">
        <f t="shared" si="45"/>
        <v>0</v>
      </c>
      <c r="Z143">
        <f t="shared" si="46"/>
        <v>1</v>
      </c>
      <c r="AA143">
        <v>1</v>
      </c>
      <c r="AB143">
        <f>VLOOKUP(F143,[1]pff_ppr_projections!$B:$D,3,FALSE)</f>
        <v>101.7</v>
      </c>
      <c r="AC143" s="1">
        <f>AVERAGE(AB143,AD143,AE143)</f>
        <v>101.85648880866711</v>
      </c>
      <c r="AD143">
        <f>VLOOKUP(F143,[3]rotoballer_ppr_projections!$B:$G,6,FALSE)</f>
        <v>107</v>
      </c>
      <c r="AE143">
        <f>VLOOKUP(F143,[4]ppr!$B:$E,4,FALSE)</f>
        <v>96.86946642600131</v>
      </c>
      <c r="AF143">
        <f>VLOOKUP(F143,[4]half_ppr!$B:$E,4,FALSE)</f>
        <v>91.774157964961319</v>
      </c>
      <c r="AG143">
        <f>VLOOKUP(F143,[4]std!$B:$E,4,FALSE)</f>
        <v>86.678849503921313</v>
      </c>
      <c r="AH143">
        <f>IFERROR(VLOOKUP(F143,[5]actual_week11_ppr_stats!$A:$B,2,FALSE),0)</f>
        <v>79.599999999999994</v>
      </c>
    </row>
    <row r="144" spans="1:34" x14ac:dyDescent="0.2">
      <c r="A144">
        <v>143</v>
      </c>
      <c r="B144">
        <v>19443</v>
      </c>
      <c r="C144" t="s">
        <v>176</v>
      </c>
      <c r="D144" t="str" cm="1">
        <f t="array" ref="D144:E144">_xlfn.TEXTSPLIT(C144, ", ")</f>
        <v>Ford</v>
      </c>
      <c r="E144" t="str">
        <v>Jerome</v>
      </c>
      <c r="F144" t="str">
        <f t="shared" si="32"/>
        <v>Jerome Ford</v>
      </c>
      <c r="G144" t="s">
        <v>102</v>
      </c>
      <c r="H144" t="s">
        <v>12</v>
      </c>
      <c r="I144">
        <v>144.44999999999999</v>
      </c>
      <c r="J144">
        <v>94</v>
      </c>
      <c r="K144">
        <v>180</v>
      </c>
      <c r="L144">
        <f>VLOOKUP(G144,byes!$A:$B,2,FALSE)</f>
        <v>9</v>
      </c>
      <c r="M144">
        <f t="shared" si="33"/>
        <v>0</v>
      </c>
      <c r="N144">
        <f t="shared" si="34"/>
        <v>0</v>
      </c>
      <c r="O144">
        <f t="shared" si="35"/>
        <v>0</v>
      </c>
      <c r="P144">
        <f t="shared" si="36"/>
        <v>0</v>
      </c>
      <c r="Q144">
        <f t="shared" si="37"/>
        <v>1</v>
      </c>
      <c r="R144">
        <f t="shared" si="38"/>
        <v>0</v>
      </c>
      <c r="S144">
        <f t="shared" si="39"/>
        <v>0</v>
      </c>
      <c r="T144">
        <f t="shared" si="40"/>
        <v>0</v>
      </c>
      <c r="U144">
        <f t="shared" si="41"/>
        <v>0</v>
      </c>
      <c r="V144">
        <f t="shared" si="42"/>
        <v>0</v>
      </c>
      <c r="W144">
        <f t="shared" si="43"/>
        <v>1</v>
      </c>
      <c r="X144">
        <f t="shared" si="44"/>
        <v>0</v>
      </c>
      <c r="Y144">
        <f t="shared" si="45"/>
        <v>0</v>
      </c>
      <c r="Z144">
        <f t="shared" si="46"/>
        <v>1</v>
      </c>
      <c r="AA144">
        <v>1</v>
      </c>
      <c r="AB144">
        <f>VLOOKUP(F144,[1]pff_ppr_projections!$B:$D,3,FALSE)</f>
        <v>47.2</v>
      </c>
      <c r="AC144">
        <f>VLOOKUP(F144,[2]numberFire_ppr_projections!$A:$B,2,FALSE)</f>
        <v>148.6</v>
      </c>
      <c r="AD144">
        <f>VLOOKUP(F144,[3]rotoballer_ppr_projections!$B:$G,6,FALSE)</f>
        <v>137</v>
      </c>
      <c r="AE144">
        <f>VLOOKUP(F144,[4]ppr!$B:$E,4,FALSE)</f>
        <v>92.301682371254984</v>
      </c>
      <c r="AF144">
        <f>VLOOKUP(F144,[4]half_ppr!$B:$E,4,FALSE)</f>
        <v>85.482013168754975</v>
      </c>
      <c r="AG144">
        <f>VLOOKUP(F144,[4]std!$B:$E,4,FALSE)</f>
        <v>78.66234396625498</v>
      </c>
      <c r="AH144">
        <f>IFERROR(VLOOKUP(F144,[5]actual_week11_ppr_stats!$A:$B,2,FALSE),0)</f>
        <v>36.200000000000003</v>
      </c>
    </row>
    <row r="145" spans="1:34" x14ac:dyDescent="0.2">
      <c r="A145">
        <v>144</v>
      </c>
      <c r="B145">
        <v>18862</v>
      </c>
      <c r="C145" t="s">
        <v>177</v>
      </c>
      <c r="D145" t="str" cm="1">
        <f t="array" ref="D145:E145">_xlfn.TEXTSPLIT(C145, ", ")</f>
        <v>Palmer</v>
      </c>
      <c r="E145" t="str">
        <v>Joshua</v>
      </c>
      <c r="F145" t="str">
        <f t="shared" si="32"/>
        <v>Joshua Palmer</v>
      </c>
      <c r="G145" t="s">
        <v>60</v>
      </c>
      <c r="H145" t="s">
        <v>9</v>
      </c>
      <c r="I145">
        <v>144.47999999999999</v>
      </c>
      <c r="J145">
        <v>109</v>
      </c>
      <c r="K145">
        <v>178</v>
      </c>
      <c r="L145">
        <f>VLOOKUP(G145,byes!$A:$B,2,FALSE)</f>
        <v>7</v>
      </c>
      <c r="M145">
        <f t="shared" si="33"/>
        <v>0</v>
      </c>
      <c r="N145">
        <f t="shared" si="34"/>
        <v>0</v>
      </c>
      <c r="O145">
        <f t="shared" si="35"/>
        <v>1</v>
      </c>
      <c r="P145">
        <f t="shared" si="36"/>
        <v>0</v>
      </c>
      <c r="Q145">
        <f t="shared" si="37"/>
        <v>0</v>
      </c>
      <c r="R145">
        <f t="shared" si="38"/>
        <v>0</v>
      </c>
      <c r="S145">
        <f t="shared" si="39"/>
        <v>0</v>
      </c>
      <c r="T145">
        <f t="shared" si="40"/>
        <v>0</v>
      </c>
      <c r="U145">
        <f t="shared" si="41"/>
        <v>0</v>
      </c>
      <c r="V145">
        <f t="shared" si="42"/>
        <v>0</v>
      </c>
      <c r="W145">
        <f t="shared" si="43"/>
        <v>0</v>
      </c>
      <c r="X145">
        <f t="shared" si="44"/>
        <v>1</v>
      </c>
      <c r="Y145">
        <f t="shared" si="45"/>
        <v>0</v>
      </c>
      <c r="Z145">
        <f t="shared" si="46"/>
        <v>1</v>
      </c>
      <c r="AA145">
        <f t="shared" si="47"/>
        <v>1</v>
      </c>
      <c r="AB145">
        <f>VLOOKUP(F145,[1]pff_ppr_projections!$B:$D,3,FALSE)</f>
        <v>127.4</v>
      </c>
      <c r="AC145" s="1">
        <f>AVERAGE(AB145,AD145,AE145)</f>
        <v>142.21136220086825</v>
      </c>
      <c r="AD145">
        <f>VLOOKUP(F145,[3]rotoballer_ppr_projections!$B:$G,6,FALSE)</f>
        <v>119</v>
      </c>
      <c r="AE145">
        <f>VLOOKUP(F145,[4]ppr!$B:$E,4,FALSE)</f>
        <v>180.23408660260475</v>
      </c>
      <c r="AF145">
        <f>VLOOKUP(F145,[4]half_ppr!$B:$E,4,FALSE)</f>
        <v>147.88769632934472</v>
      </c>
      <c r="AG145">
        <f>VLOOKUP(F145,[4]std!$B:$E,4,FALSE)</f>
        <v>115.54130605608472</v>
      </c>
      <c r="AH145">
        <f>IFERROR(VLOOKUP(F145,[5]actual_week11_ppr_stats!$A:$B,2,FALSE),0)</f>
        <v>45.2</v>
      </c>
    </row>
    <row r="146" spans="1:34" x14ac:dyDescent="0.2">
      <c r="A146">
        <v>145</v>
      </c>
      <c r="B146">
        <v>21137</v>
      </c>
      <c r="C146" t="s">
        <v>178</v>
      </c>
      <c r="D146" t="str" cm="1">
        <f t="array" ref="D146:E146">_xlfn.TEXTSPLIT(C146, ", ")</f>
        <v>Legette</v>
      </c>
      <c r="E146" t="str">
        <v>Xavier</v>
      </c>
      <c r="F146" t="str">
        <f t="shared" si="32"/>
        <v>Xavier Legette</v>
      </c>
      <c r="G146" t="s">
        <v>68</v>
      </c>
      <c r="H146" t="s">
        <v>9</v>
      </c>
      <c r="I146">
        <v>145.36000000000001</v>
      </c>
      <c r="J146">
        <v>93</v>
      </c>
      <c r="K146">
        <v>194</v>
      </c>
      <c r="L146">
        <f>VLOOKUP(G146,byes!$A:$B,2,FALSE)</f>
        <v>14</v>
      </c>
      <c r="M146">
        <f t="shared" si="33"/>
        <v>0</v>
      </c>
      <c r="N146">
        <f t="shared" si="34"/>
        <v>0</v>
      </c>
      <c r="O146">
        <f t="shared" si="35"/>
        <v>0</v>
      </c>
      <c r="P146">
        <f t="shared" si="36"/>
        <v>0</v>
      </c>
      <c r="Q146">
        <f t="shared" si="37"/>
        <v>0</v>
      </c>
      <c r="R146">
        <f t="shared" si="38"/>
        <v>0</v>
      </c>
      <c r="S146">
        <f t="shared" si="39"/>
        <v>0</v>
      </c>
      <c r="T146">
        <f t="shared" si="40"/>
        <v>0</v>
      </c>
      <c r="U146">
        <f t="shared" si="41"/>
        <v>1</v>
      </c>
      <c r="V146">
        <f t="shared" si="42"/>
        <v>0</v>
      </c>
      <c r="W146">
        <f t="shared" si="43"/>
        <v>0</v>
      </c>
      <c r="X146">
        <f t="shared" si="44"/>
        <v>1</v>
      </c>
      <c r="Y146">
        <f t="shared" si="45"/>
        <v>0</v>
      </c>
      <c r="Z146">
        <f t="shared" si="46"/>
        <v>1</v>
      </c>
      <c r="AA146">
        <v>1</v>
      </c>
      <c r="AB146">
        <f>VLOOKUP(F146,[1]pff_ppr_projections!$B:$D,3,FALSE)</f>
        <v>116</v>
      </c>
      <c r="AC146">
        <f>VLOOKUP(F146,[2]numberFire_ppr_projections!$A:$B,2,FALSE)</f>
        <v>154.4</v>
      </c>
      <c r="AD146">
        <f>VLOOKUP(F146,[3]rotoballer_ppr_projections!$B:$G,6,FALSE)</f>
        <v>155</v>
      </c>
      <c r="AE146">
        <f>VLOOKUP(F146,[4]ppr!$B:$E,4,FALSE)</f>
        <v>174.41376755575496</v>
      </c>
      <c r="AF146">
        <f>VLOOKUP(F146,[4]half_ppr!$B:$E,4,FALSE)</f>
        <v>142.91976835825497</v>
      </c>
      <c r="AG146">
        <f>VLOOKUP(F146,[4]std!$B:$E,4,FALSE)</f>
        <v>111.42576916075498</v>
      </c>
      <c r="AH146">
        <f>IFERROR(VLOOKUP(F146,[5]actual_week11_ppr_stats!$A:$B,2,FALSE),0)</f>
        <v>68.400000000000006</v>
      </c>
    </row>
    <row r="147" spans="1:34" x14ac:dyDescent="0.2">
      <c r="A147">
        <v>146</v>
      </c>
      <c r="B147">
        <v>18789</v>
      </c>
      <c r="C147" t="s">
        <v>179</v>
      </c>
      <c r="D147" t="str" cm="1">
        <f t="array" ref="D147:E147">_xlfn.TEXTSPLIT(C147, ", ")</f>
        <v>Pitts</v>
      </c>
      <c r="E147" t="str">
        <v>Kyle</v>
      </c>
      <c r="F147" t="str">
        <f t="shared" si="32"/>
        <v>Kyle Pitts</v>
      </c>
      <c r="G147" t="s">
        <v>11</v>
      </c>
      <c r="H147" t="s">
        <v>47</v>
      </c>
      <c r="I147">
        <v>145.38999999999999</v>
      </c>
      <c r="J147">
        <v>109</v>
      </c>
      <c r="K147">
        <v>178</v>
      </c>
      <c r="L147">
        <f>VLOOKUP(G147,byes!$A:$B,2,FALSE)</f>
        <v>5</v>
      </c>
      <c r="M147">
        <f t="shared" si="33"/>
        <v>1</v>
      </c>
      <c r="N147">
        <f t="shared" si="34"/>
        <v>0</v>
      </c>
      <c r="O147">
        <f t="shared" si="35"/>
        <v>0</v>
      </c>
      <c r="P147">
        <f t="shared" si="36"/>
        <v>0</v>
      </c>
      <c r="Q147">
        <f t="shared" si="37"/>
        <v>0</v>
      </c>
      <c r="R147">
        <f t="shared" si="38"/>
        <v>0</v>
      </c>
      <c r="S147">
        <f t="shared" si="39"/>
        <v>0</v>
      </c>
      <c r="T147">
        <f t="shared" si="40"/>
        <v>0</v>
      </c>
      <c r="U147">
        <f t="shared" si="41"/>
        <v>0</v>
      </c>
      <c r="V147">
        <f t="shared" si="42"/>
        <v>0</v>
      </c>
      <c r="W147">
        <f t="shared" si="43"/>
        <v>0</v>
      </c>
      <c r="X147">
        <f t="shared" si="44"/>
        <v>0</v>
      </c>
      <c r="Y147">
        <f t="shared" si="45"/>
        <v>1</v>
      </c>
      <c r="Z147">
        <f t="shared" si="46"/>
        <v>1</v>
      </c>
      <c r="AA147">
        <v>1</v>
      </c>
      <c r="AB147">
        <f>VLOOKUP(F147,[1]pff_ppr_projections!$B:$D,3,FALSE)</f>
        <v>138.19999999999999</v>
      </c>
      <c r="AC147" s="1">
        <f>AVERAGE(AB147,AD147,AE147)</f>
        <v>148.02168780159147</v>
      </c>
      <c r="AD147">
        <f>VLOOKUP(F147,[3]rotoballer_ppr_projections!$B:$G,6,FALSE)</f>
        <v>138</v>
      </c>
      <c r="AE147">
        <f>VLOOKUP(F147,[4]ppr!$B:$E,4,FALSE)</f>
        <v>167.86506340477442</v>
      </c>
      <c r="AF147">
        <f>VLOOKUP(F147,[4]half_ppr!$B:$E,4,FALSE)</f>
        <v>136.32333784957441</v>
      </c>
      <c r="AG147">
        <f>VLOOKUP(F147,[4]std!$B:$E,4,FALSE)</f>
        <v>104.78161229437441</v>
      </c>
      <c r="AH147">
        <f>IFERROR(VLOOKUP(F147,[5]actual_week11_ppr_stats!$A:$B,2,FALSE),0)</f>
        <v>96.4</v>
      </c>
    </row>
    <row r="148" spans="1:34" x14ac:dyDescent="0.2">
      <c r="A148">
        <v>147</v>
      </c>
      <c r="B148">
        <v>19436</v>
      </c>
      <c r="C148" t="s">
        <v>180</v>
      </c>
      <c r="D148" t="str" cm="1">
        <f t="array" ref="D148:E148">_xlfn.TEXTSPLIT(C148, ", ")</f>
        <v>White</v>
      </c>
      <c r="E148" t="str">
        <v>Rachaad</v>
      </c>
      <c r="F148" t="str">
        <f t="shared" si="32"/>
        <v>Rachaad White</v>
      </c>
      <c r="G148" t="s">
        <v>45</v>
      </c>
      <c r="H148" t="s">
        <v>12</v>
      </c>
      <c r="I148">
        <v>148.32</v>
      </c>
      <c r="J148">
        <v>107</v>
      </c>
      <c r="K148">
        <v>188</v>
      </c>
      <c r="L148">
        <f>VLOOKUP(G148,byes!$A:$B,2,FALSE)</f>
        <v>9</v>
      </c>
      <c r="M148">
        <f t="shared" si="33"/>
        <v>0</v>
      </c>
      <c r="N148">
        <f t="shared" si="34"/>
        <v>0</v>
      </c>
      <c r="O148">
        <f t="shared" si="35"/>
        <v>0</v>
      </c>
      <c r="P148">
        <f t="shared" si="36"/>
        <v>0</v>
      </c>
      <c r="Q148">
        <f t="shared" si="37"/>
        <v>1</v>
      </c>
      <c r="R148">
        <f t="shared" si="38"/>
        <v>0</v>
      </c>
      <c r="S148">
        <f t="shared" si="39"/>
        <v>0</v>
      </c>
      <c r="T148">
        <f t="shared" si="40"/>
        <v>0</v>
      </c>
      <c r="U148">
        <f t="shared" si="41"/>
        <v>0</v>
      </c>
      <c r="V148">
        <f t="shared" si="42"/>
        <v>0</v>
      </c>
      <c r="W148">
        <f t="shared" si="43"/>
        <v>1</v>
      </c>
      <c r="X148">
        <f t="shared" si="44"/>
        <v>0</v>
      </c>
      <c r="Y148">
        <f t="shared" si="45"/>
        <v>0</v>
      </c>
      <c r="Z148">
        <f t="shared" si="46"/>
        <v>1</v>
      </c>
      <c r="AA148">
        <v>1</v>
      </c>
      <c r="AB148">
        <f>VLOOKUP(F148,[1]pff_ppr_projections!$B:$D,3,FALSE)</f>
        <v>125</v>
      </c>
      <c r="AC148">
        <f>VLOOKUP(F148,[2]numberFire_ppr_projections!$A:$B,2,FALSE)</f>
        <v>151.4</v>
      </c>
      <c r="AD148">
        <f>VLOOKUP(F148,[3]rotoballer_ppr_projections!$B:$G,6,FALSE)</f>
        <v>123</v>
      </c>
      <c r="AE148">
        <f>VLOOKUP(F148,[4]ppr!$B:$E,4,FALSE)</f>
        <v>103.00818802015917</v>
      </c>
      <c r="AF148">
        <f>VLOOKUP(F148,[4]half_ppr!$B:$E,4,FALSE)</f>
        <v>91.886554953559155</v>
      </c>
      <c r="AG148">
        <f>VLOOKUP(F148,[4]std!$B:$E,4,FALSE)</f>
        <v>80.764921886959158</v>
      </c>
      <c r="AH148">
        <f>IFERROR(VLOOKUP(F148,[5]actual_week11_ppr_stats!$A:$B,2,FALSE),0)</f>
        <v>104</v>
      </c>
    </row>
    <row r="149" spans="1:34" x14ac:dyDescent="0.2">
      <c r="A149">
        <v>148</v>
      </c>
      <c r="B149">
        <v>15261</v>
      </c>
      <c r="C149" t="s">
        <v>181</v>
      </c>
      <c r="D149" t="str" cm="1">
        <f t="array" ref="D149:E149">_xlfn.TEXTSPLIT(C149, ", ")</f>
        <v>Mixon</v>
      </c>
      <c r="E149" t="str">
        <v>Joe</v>
      </c>
      <c r="F149" t="str">
        <f t="shared" si="32"/>
        <v>Joe Mixon</v>
      </c>
      <c r="G149" t="s">
        <v>28</v>
      </c>
      <c r="H149" t="s">
        <v>12</v>
      </c>
      <c r="I149">
        <v>148.54</v>
      </c>
      <c r="J149">
        <v>86</v>
      </c>
      <c r="K149">
        <v>228</v>
      </c>
      <c r="L149">
        <f>VLOOKUP(G149,byes!$A:$B,2,FALSE)</f>
        <v>6</v>
      </c>
      <c r="M149">
        <f t="shared" si="33"/>
        <v>0</v>
      </c>
      <c r="N149">
        <f t="shared" si="34"/>
        <v>1</v>
      </c>
      <c r="O149">
        <f t="shared" si="35"/>
        <v>0</v>
      </c>
      <c r="P149">
        <f t="shared" si="36"/>
        <v>0</v>
      </c>
      <c r="Q149">
        <f t="shared" si="37"/>
        <v>0</v>
      </c>
      <c r="R149">
        <f t="shared" si="38"/>
        <v>0</v>
      </c>
      <c r="S149">
        <f t="shared" si="39"/>
        <v>0</v>
      </c>
      <c r="T149">
        <f t="shared" si="40"/>
        <v>0</v>
      </c>
      <c r="U149">
        <f t="shared" si="41"/>
        <v>0</v>
      </c>
      <c r="V149">
        <f t="shared" si="42"/>
        <v>0</v>
      </c>
      <c r="W149">
        <f t="shared" si="43"/>
        <v>1</v>
      </c>
      <c r="X149">
        <f t="shared" si="44"/>
        <v>0</v>
      </c>
      <c r="Y149">
        <f t="shared" si="45"/>
        <v>0</v>
      </c>
      <c r="Z149">
        <f t="shared" si="46"/>
        <v>1</v>
      </c>
      <c r="AA149">
        <f t="shared" si="47"/>
        <v>1</v>
      </c>
      <c r="AB149">
        <f>VLOOKUP(F149,[1]pff_ppr_projections!$B:$D,3,FALSE)</f>
        <v>217.2</v>
      </c>
      <c r="AC149">
        <f>VLOOKUP(F149,[2]numberFire_ppr_projections!$A:$B,2,FALSE)</f>
        <v>159.19999999999999</v>
      </c>
      <c r="AD149">
        <f>VLOOKUP(F149,[3]rotoballer_ppr_projections!$B:$G,6,FALSE)</f>
        <v>142</v>
      </c>
      <c r="AE149">
        <f>VLOOKUP(F149,[4]ppr!$B:$E,4,FALSE)</f>
        <v>92.019306353148735</v>
      </c>
      <c r="AF149">
        <f>VLOOKUP(F149,[4]half_ppr!$B:$E,4,FALSE)</f>
        <v>84.840430108608729</v>
      </c>
      <c r="AG149">
        <f>VLOOKUP(F149,[4]std!$B:$E,4,FALSE)</f>
        <v>77.661553864068736</v>
      </c>
      <c r="AH149">
        <f>IFERROR(VLOOKUP(F149,[5]actual_week11_ppr_stats!$A:$B,2,FALSE),0)</f>
        <v>0</v>
      </c>
    </row>
    <row r="150" spans="1:34" x14ac:dyDescent="0.2">
      <c r="A150">
        <v>149</v>
      </c>
      <c r="B150">
        <v>19460</v>
      </c>
      <c r="C150" t="s">
        <v>182</v>
      </c>
      <c r="D150" t="str" cm="1">
        <f t="array" ref="D150:E150">_xlfn.TEXTSPLIT(C150, ", ")</f>
        <v>Robinson</v>
      </c>
      <c r="E150" t="str">
        <v>Wan'Dale</v>
      </c>
      <c r="F150" t="str">
        <f t="shared" si="32"/>
        <v>Wan'Dale Robinson</v>
      </c>
      <c r="G150" t="s">
        <v>24</v>
      </c>
      <c r="H150" t="s">
        <v>9</v>
      </c>
      <c r="I150">
        <v>151.13</v>
      </c>
      <c r="J150">
        <v>111</v>
      </c>
      <c r="K150">
        <v>193</v>
      </c>
      <c r="L150">
        <f>VLOOKUP(G150,byes!$A:$B,2,FALSE)</f>
        <v>14</v>
      </c>
      <c r="M150">
        <f t="shared" si="33"/>
        <v>0</v>
      </c>
      <c r="N150">
        <f t="shared" si="34"/>
        <v>0</v>
      </c>
      <c r="O150">
        <f t="shared" si="35"/>
        <v>0</v>
      </c>
      <c r="P150">
        <f t="shared" si="36"/>
        <v>0</v>
      </c>
      <c r="Q150">
        <f t="shared" si="37"/>
        <v>0</v>
      </c>
      <c r="R150">
        <f t="shared" si="38"/>
        <v>0</v>
      </c>
      <c r="S150">
        <f t="shared" si="39"/>
        <v>0</v>
      </c>
      <c r="T150">
        <f t="shared" si="40"/>
        <v>0</v>
      </c>
      <c r="U150">
        <f t="shared" si="41"/>
        <v>1</v>
      </c>
      <c r="V150">
        <f t="shared" si="42"/>
        <v>0</v>
      </c>
      <c r="W150">
        <f t="shared" si="43"/>
        <v>0</v>
      </c>
      <c r="X150">
        <f t="shared" si="44"/>
        <v>1</v>
      </c>
      <c r="Y150">
        <f t="shared" si="45"/>
        <v>0</v>
      </c>
      <c r="Z150">
        <f t="shared" si="46"/>
        <v>1</v>
      </c>
      <c r="AA150">
        <v>1</v>
      </c>
      <c r="AB150">
        <f>VLOOKUP(F150,[1]pff_ppr_projections!$B:$D,3,FALSE)</f>
        <v>177.8</v>
      </c>
      <c r="AC150">
        <f>VLOOKUP(F150,[2]numberFire_ppr_projections!$A:$B,2,FALSE)</f>
        <v>135.19999999999999</v>
      </c>
      <c r="AD150">
        <f>VLOOKUP(F150,[3]rotoballer_ppr_projections!$B:$G,6,FALSE)</f>
        <v>148</v>
      </c>
      <c r="AE150">
        <f>VLOOKUP(F150,[4]ppr!$B:$E,4,FALSE)</f>
        <v>153.08376599471097</v>
      </c>
      <c r="AF150">
        <f>VLOOKUP(F150,[4]half_ppr!$B:$E,4,FALSE)</f>
        <v>119.94542178959099</v>
      </c>
      <c r="AG150">
        <f>VLOOKUP(F150,[4]std!$B:$E,4,FALSE)</f>
        <v>86.807077584470989</v>
      </c>
      <c r="AH150">
        <f>IFERROR(VLOOKUP(F150,[5]actual_week11_ppr_stats!$A:$B,2,FALSE),0)</f>
        <v>133</v>
      </c>
    </row>
    <row r="151" spans="1:34" x14ac:dyDescent="0.2">
      <c r="A151">
        <v>150</v>
      </c>
      <c r="B151">
        <v>20329</v>
      </c>
      <c r="C151" t="s">
        <v>183</v>
      </c>
      <c r="D151" t="str" cm="1">
        <f t="array" ref="D151:E151">_xlfn.TEXTSPLIT(C151, ", ")</f>
        <v>Spears</v>
      </c>
      <c r="E151" t="str">
        <v>Tyjae</v>
      </c>
      <c r="F151" t="str">
        <f t="shared" si="32"/>
        <v>Tyjae Spears</v>
      </c>
      <c r="G151" t="s">
        <v>89</v>
      </c>
      <c r="H151" t="s">
        <v>12</v>
      </c>
      <c r="I151">
        <v>153.38</v>
      </c>
      <c r="J151">
        <v>127</v>
      </c>
      <c r="K151">
        <v>206</v>
      </c>
      <c r="L151">
        <f>VLOOKUP(G151,byes!$A:$B,2,FALSE)</f>
        <v>10</v>
      </c>
      <c r="M151">
        <f t="shared" si="33"/>
        <v>0</v>
      </c>
      <c r="N151">
        <f t="shared" si="34"/>
        <v>0</v>
      </c>
      <c r="O151">
        <f t="shared" si="35"/>
        <v>0</v>
      </c>
      <c r="P151">
        <f t="shared" si="36"/>
        <v>0</v>
      </c>
      <c r="Q151">
        <f t="shared" si="37"/>
        <v>0</v>
      </c>
      <c r="R151">
        <f t="shared" si="38"/>
        <v>1</v>
      </c>
      <c r="S151">
        <f t="shared" si="39"/>
        <v>0</v>
      </c>
      <c r="T151">
        <f t="shared" si="40"/>
        <v>0</v>
      </c>
      <c r="U151">
        <f t="shared" si="41"/>
        <v>0</v>
      </c>
      <c r="V151">
        <f t="shared" si="42"/>
        <v>0</v>
      </c>
      <c r="W151">
        <f t="shared" si="43"/>
        <v>1</v>
      </c>
      <c r="X151">
        <f t="shared" si="44"/>
        <v>0</v>
      </c>
      <c r="Y151">
        <f t="shared" si="45"/>
        <v>0</v>
      </c>
      <c r="Z151">
        <f t="shared" si="46"/>
        <v>1</v>
      </c>
      <c r="AA151">
        <v>1</v>
      </c>
      <c r="AB151">
        <f>VLOOKUP(F151,[1]pff_ppr_projections!$B:$D,3,FALSE)</f>
        <v>150.6</v>
      </c>
      <c r="AC151">
        <f>VLOOKUP(F151,[2]numberFire_ppr_projections!$A:$B,2,FALSE)</f>
        <v>139.5</v>
      </c>
      <c r="AD151">
        <f>VLOOKUP(F151,[3]rotoballer_ppr_projections!$B:$G,6,FALSE)</f>
        <v>106</v>
      </c>
      <c r="AE151">
        <f>VLOOKUP(F151,[4]ppr!$B:$E,4,FALSE)</f>
        <v>126.9447083884224</v>
      </c>
      <c r="AF151">
        <f>VLOOKUP(F151,[4]half_ppr!$B:$E,4,FALSE)</f>
        <v>111.23461294122239</v>
      </c>
      <c r="AG151">
        <f>VLOOKUP(F151,[4]std!$B:$E,4,FALSE)</f>
        <v>95.524517494022405</v>
      </c>
      <c r="AH151">
        <f>IFERROR(VLOOKUP(F151,[5]actual_week11_ppr_stats!$A:$B,2,FALSE),0)</f>
        <v>52.2</v>
      </c>
    </row>
    <row r="152" spans="1:34" x14ac:dyDescent="0.2">
      <c r="A152">
        <v>151</v>
      </c>
      <c r="B152">
        <v>22109</v>
      </c>
      <c r="C152" t="s">
        <v>184</v>
      </c>
      <c r="D152" t="str" cm="1">
        <f t="array" ref="D152:E152">_xlfn.TEXTSPLIT(C152, ", ")</f>
        <v>Marks</v>
      </c>
      <c r="E152" t="str">
        <v>Woody</v>
      </c>
      <c r="F152" t="str">
        <f t="shared" si="32"/>
        <v>Woody Marks</v>
      </c>
      <c r="G152" t="s">
        <v>28</v>
      </c>
      <c r="H152" t="s">
        <v>12</v>
      </c>
      <c r="I152">
        <v>154.52000000000001</v>
      </c>
      <c r="J152">
        <v>121</v>
      </c>
      <c r="K152">
        <v>200</v>
      </c>
      <c r="L152">
        <f>VLOOKUP(G152,byes!$A:$B,2,FALSE)</f>
        <v>6</v>
      </c>
      <c r="M152">
        <f t="shared" si="33"/>
        <v>0</v>
      </c>
      <c r="N152">
        <f t="shared" si="34"/>
        <v>1</v>
      </c>
      <c r="O152">
        <f t="shared" si="35"/>
        <v>0</v>
      </c>
      <c r="P152">
        <f t="shared" si="36"/>
        <v>0</v>
      </c>
      <c r="Q152">
        <f t="shared" si="37"/>
        <v>0</v>
      </c>
      <c r="R152">
        <f t="shared" si="38"/>
        <v>0</v>
      </c>
      <c r="S152">
        <f t="shared" si="39"/>
        <v>0</v>
      </c>
      <c r="T152">
        <f t="shared" si="40"/>
        <v>0</v>
      </c>
      <c r="U152">
        <f t="shared" si="41"/>
        <v>0</v>
      </c>
      <c r="V152">
        <f t="shared" si="42"/>
        <v>0</v>
      </c>
      <c r="W152">
        <f t="shared" si="43"/>
        <v>1</v>
      </c>
      <c r="X152">
        <f t="shared" si="44"/>
        <v>0</v>
      </c>
      <c r="Y152">
        <f t="shared" si="45"/>
        <v>0</v>
      </c>
      <c r="Z152">
        <f t="shared" si="46"/>
        <v>1</v>
      </c>
      <c r="AA152">
        <v>1</v>
      </c>
      <c r="AB152">
        <f>VLOOKUP(F152,[1]pff_ppr_projections!$B:$D,3,FALSE)</f>
        <v>72.400000000000006</v>
      </c>
      <c r="AC152">
        <f>VLOOKUP(F152,[2]numberFire_ppr_projections!$A:$B,2,FALSE)</f>
        <v>115.5</v>
      </c>
      <c r="AD152">
        <f>VLOOKUP(F152,[3]rotoballer_ppr_projections!$B:$G,6,FALSE)</f>
        <v>66</v>
      </c>
      <c r="AE152">
        <f>VLOOKUP(F152,[4]ppr!$B:$E,4,FALSE)</f>
        <v>83.383312160890569</v>
      </c>
      <c r="AF152">
        <f>VLOOKUP(F152,[4]half_ppr!$B:$E,4,FALSE)</f>
        <v>73.277326831450566</v>
      </c>
      <c r="AG152">
        <f>VLOOKUP(F152,[4]std!$B:$E,4,FALSE)</f>
        <v>63.17134150201057</v>
      </c>
      <c r="AH152">
        <f>IFERROR(VLOOKUP(F152,[5]actual_week11_ppr_stats!$A:$B,2,FALSE),0)</f>
        <v>101.7</v>
      </c>
    </row>
    <row r="153" spans="1:34" x14ac:dyDescent="0.2">
      <c r="A153">
        <v>152</v>
      </c>
      <c r="B153">
        <v>16151</v>
      </c>
      <c r="C153" t="s">
        <v>185</v>
      </c>
      <c r="D153" t="str" cm="1">
        <f t="array" ref="D153:E153">_xlfn.TEXTSPLIT(C153, ", ")</f>
        <v>Goedert</v>
      </c>
      <c r="E153" t="str">
        <v>Dallas</v>
      </c>
      <c r="F153" t="str">
        <f t="shared" si="32"/>
        <v>Dallas Goedert</v>
      </c>
      <c r="G153" t="s">
        <v>18</v>
      </c>
      <c r="H153" t="s">
        <v>47</v>
      </c>
      <c r="I153">
        <v>156.97</v>
      </c>
      <c r="J153">
        <v>109</v>
      </c>
      <c r="K153">
        <v>191</v>
      </c>
      <c r="L153">
        <f>VLOOKUP(G153,byes!$A:$B,2,FALSE)</f>
        <v>9</v>
      </c>
      <c r="M153">
        <f t="shared" si="33"/>
        <v>0</v>
      </c>
      <c r="N153">
        <f t="shared" si="34"/>
        <v>0</v>
      </c>
      <c r="O153">
        <f t="shared" si="35"/>
        <v>0</v>
      </c>
      <c r="P153">
        <f t="shared" si="36"/>
        <v>0</v>
      </c>
      <c r="Q153">
        <f t="shared" si="37"/>
        <v>1</v>
      </c>
      <c r="R153">
        <f t="shared" si="38"/>
        <v>0</v>
      </c>
      <c r="S153">
        <f t="shared" si="39"/>
        <v>0</v>
      </c>
      <c r="T153">
        <f t="shared" si="40"/>
        <v>0</v>
      </c>
      <c r="U153">
        <f t="shared" si="41"/>
        <v>0</v>
      </c>
      <c r="V153">
        <f t="shared" si="42"/>
        <v>0</v>
      </c>
      <c r="W153">
        <f t="shared" si="43"/>
        <v>0</v>
      </c>
      <c r="X153">
        <f t="shared" si="44"/>
        <v>0</v>
      </c>
      <c r="Y153">
        <f t="shared" si="45"/>
        <v>1</v>
      </c>
      <c r="Z153">
        <f t="shared" si="46"/>
        <v>1</v>
      </c>
      <c r="AA153">
        <f t="shared" si="47"/>
        <v>1</v>
      </c>
      <c r="AB153">
        <f>VLOOKUP(F153,[1]pff_ppr_projections!$B:$D,3,FALSE)</f>
        <v>148.9</v>
      </c>
      <c r="AC153" s="1">
        <f>AVERAGE(AB153,AD153,AE153)</f>
        <v>138.62936930186103</v>
      </c>
      <c r="AD153">
        <f>VLOOKUP(F153,[3]rotoballer_ppr_projections!$B:$G,6,FALSE)</f>
        <v>138</v>
      </c>
      <c r="AE153">
        <f>VLOOKUP(F153,[4]ppr!$B:$E,4,FALSE)</f>
        <v>128.98810790558306</v>
      </c>
      <c r="AF153">
        <f>VLOOKUP(F153,[4]half_ppr!$B:$E,4,FALSE)</f>
        <v>103.0868814185182</v>
      </c>
      <c r="AG153">
        <f>VLOOKUP(F153,[4]std!$B:$E,4,FALSE)</f>
        <v>77.185654931453328</v>
      </c>
      <c r="AH153">
        <f>IFERROR(VLOOKUP(F153,[5]actual_week11_ppr_stats!$A:$B,2,FALSE),0)</f>
        <v>113.6</v>
      </c>
    </row>
    <row r="154" spans="1:34" x14ac:dyDescent="0.2">
      <c r="A154">
        <v>153</v>
      </c>
      <c r="B154">
        <v>17976</v>
      </c>
      <c r="C154" t="s">
        <v>186</v>
      </c>
      <c r="D154" t="str" cm="1">
        <f t="array" ref="D154:E154">_xlfn.TEXTSPLIT(C154, ", ")</f>
        <v>Herbert</v>
      </c>
      <c r="E154" t="str">
        <v>Justin</v>
      </c>
      <c r="F154" t="str">
        <f t="shared" si="32"/>
        <v>Justin Herbert</v>
      </c>
      <c r="G154" t="s">
        <v>49</v>
      </c>
      <c r="H154" t="s">
        <v>57</v>
      </c>
      <c r="I154">
        <v>156.99</v>
      </c>
      <c r="J154">
        <v>107</v>
      </c>
      <c r="K154">
        <v>197</v>
      </c>
      <c r="L154">
        <f>VLOOKUP(G154,byes!$A:$B,2,FALSE)</f>
        <v>12</v>
      </c>
      <c r="M154">
        <f t="shared" si="33"/>
        <v>0</v>
      </c>
      <c r="N154">
        <f t="shared" si="34"/>
        <v>0</v>
      </c>
      <c r="O154">
        <f t="shared" si="35"/>
        <v>0</v>
      </c>
      <c r="P154">
        <f t="shared" si="36"/>
        <v>0</v>
      </c>
      <c r="Q154">
        <f t="shared" si="37"/>
        <v>0</v>
      </c>
      <c r="R154">
        <f t="shared" si="38"/>
        <v>0</v>
      </c>
      <c r="S154">
        <f t="shared" si="39"/>
        <v>0</v>
      </c>
      <c r="T154">
        <f t="shared" si="40"/>
        <v>1</v>
      </c>
      <c r="U154">
        <f t="shared" si="41"/>
        <v>0</v>
      </c>
      <c r="V154">
        <f t="shared" si="42"/>
        <v>1</v>
      </c>
      <c r="W154">
        <f t="shared" si="43"/>
        <v>0</v>
      </c>
      <c r="X154">
        <f t="shared" si="44"/>
        <v>0</v>
      </c>
      <c r="Y154">
        <f t="shared" si="45"/>
        <v>0</v>
      </c>
      <c r="Z154">
        <f t="shared" si="46"/>
        <v>0</v>
      </c>
      <c r="AA154">
        <v>1</v>
      </c>
      <c r="AB154">
        <f>VLOOKUP(F154,[1]pff_ppr_projections!$B:$D,3,FALSE)</f>
        <v>275</v>
      </c>
      <c r="AC154">
        <f>VLOOKUP(F154,[2]numberFire_ppr_projections!$A:$B,2,FALSE)</f>
        <v>313.3</v>
      </c>
      <c r="AD154">
        <f>VLOOKUP(F154,[3]rotoballer_ppr_projections!$B:$G,6,FALSE)</f>
        <v>294</v>
      </c>
      <c r="AE154">
        <f>VLOOKUP(F154,[4]ppr!$B:$E,4,FALSE)</f>
        <v>283.08430310047999</v>
      </c>
      <c r="AF154">
        <f>VLOOKUP(F154,[4]half_ppr!$B:$E,4,FALSE)</f>
        <v>283.08430310047999</v>
      </c>
      <c r="AG154">
        <f>VLOOKUP(F154,[4]std!$B:$E,4,FALSE)</f>
        <v>283.08430310047999</v>
      </c>
      <c r="AH154">
        <f>IFERROR(VLOOKUP(F154,[5]actual_week11_ppr_stats!$A:$B,2,FALSE),0)</f>
        <v>215.1</v>
      </c>
    </row>
    <row r="155" spans="1:34" x14ac:dyDescent="0.2">
      <c r="A155">
        <v>154</v>
      </c>
      <c r="B155">
        <v>19455</v>
      </c>
      <c r="C155" t="s">
        <v>187</v>
      </c>
      <c r="D155" t="str" cm="1">
        <f t="array" ref="D155:E155">_xlfn.TEXTSPLIT(C155, ", ")</f>
        <v>Doubs</v>
      </c>
      <c r="E155" t="str">
        <v>Romeo</v>
      </c>
      <c r="F155" t="str">
        <f t="shared" si="32"/>
        <v>Romeo Doubs</v>
      </c>
      <c r="G155" t="s">
        <v>40</v>
      </c>
      <c r="H155" t="s">
        <v>9</v>
      </c>
      <c r="I155">
        <v>157.63999999999999</v>
      </c>
      <c r="J155">
        <v>126</v>
      </c>
      <c r="K155">
        <v>191</v>
      </c>
      <c r="L155">
        <f>VLOOKUP(G155,byes!$A:$B,2,FALSE)</f>
        <v>5</v>
      </c>
      <c r="M155">
        <f t="shared" si="33"/>
        <v>1</v>
      </c>
      <c r="N155">
        <f t="shared" si="34"/>
        <v>0</v>
      </c>
      <c r="O155">
        <f t="shared" si="35"/>
        <v>0</v>
      </c>
      <c r="P155">
        <f t="shared" si="36"/>
        <v>0</v>
      </c>
      <c r="Q155">
        <f t="shared" si="37"/>
        <v>0</v>
      </c>
      <c r="R155">
        <f t="shared" si="38"/>
        <v>0</v>
      </c>
      <c r="S155">
        <f t="shared" si="39"/>
        <v>0</v>
      </c>
      <c r="T155">
        <f t="shared" si="40"/>
        <v>0</v>
      </c>
      <c r="U155">
        <f t="shared" si="41"/>
        <v>0</v>
      </c>
      <c r="V155">
        <f t="shared" si="42"/>
        <v>0</v>
      </c>
      <c r="W155">
        <f t="shared" si="43"/>
        <v>0</v>
      </c>
      <c r="X155">
        <f t="shared" si="44"/>
        <v>1</v>
      </c>
      <c r="Y155">
        <f t="shared" si="45"/>
        <v>0</v>
      </c>
      <c r="Z155">
        <f t="shared" si="46"/>
        <v>1</v>
      </c>
      <c r="AA155">
        <v>1</v>
      </c>
      <c r="AB155">
        <f>VLOOKUP(F155,[1]pff_ppr_projections!$B:$D,3,FALSE)</f>
        <v>171.2</v>
      </c>
      <c r="AC155" s="1">
        <f>AVERAGE(AB155,AD155,AE155)</f>
        <v>155.59533779177812</v>
      </c>
      <c r="AD155">
        <f>VLOOKUP(F155,[3]rotoballer_ppr_projections!$B:$G,6,FALSE)</f>
        <v>128</v>
      </c>
      <c r="AE155">
        <f>VLOOKUP(F155,[4]ppr!$B:$E,4,FALSE)</f>
        <v>167.5860133753344</v>
      </c>
      <c r="AF155">
        <f>VLOOKUP(F155,[4]half_ppr!$B:$E,4,FALSE)</f>
        <v>137.21522443453441</v>
      </c>
      <c r="AG155">
        <f>VLOOKUP(F155,[4]std!$B:$E,4,FALSE)</f>
        <v>106.84443549373441</v>
      </c>
      <c r="AH155">
        <f>IFERROR(VLOOKUP(F155,[5]actual_week11_ppr_stats!$A:$B,2,FALSE),0)</f>
        <v>112.9</v>
      </c>
    </row>
    <row r="156" spans="1:34" x14ac:dyDescent="0.2">
      <c r="A156">
        <v>155</v>
      </c>
      <c r="B156">
        <v>21141</v>
      </c>
      <c r="C156" t="s">
        <v>188</v>
      </c>
      <c r="D156" t="str" cm="1">
        <f t="array" ref="D156:E156">_xlfn.TEXTSPLIT(C156, ", ")</f>
        <v>Shipley</v>
      </c>
      <c r="E156" t="str">
        <v>Will</v>
      </c>
      <c r="F156" t="str">
        <f t="shared" si="32"/>
        <v>Will Shipley</v>
      </c>
      <c r="G156" t="s">
        <v>18</v>
      </c>
      <c r="H156" t="s">
        <v>12</v>
      </c>
      <c r="I156">
        <v>157.81</v>
      </c>
      <c r="J156">
        <v>133</v>
      </c>
      <c r="K156">
        <v>191</v>
      </c>
      <c r="L156">
        <f>VLOOKUP(G156,byes!$A:$B,2,FALSE)</f>
        <v>9</v>
      </c>
      <c r="M156">
        <f t="shared" si="33"/>
        <v>0</v>
      </c>
      <c r="N156">
        <f t="shared" si="34"/>
        <v>0</v>
      </c>
      <c r="O156">
        <f t="shared" si="35"/>
        <v>0</v>
      </c>
      <c r="P156">
        <f t="shared" si="36"/>
        <v>0</v>
      </c>
      <c r="Q156">
        <f t="shared" si="37"/>
        <v>1</v>
      </c>
      <c r="R156">
        <f t="shared" si="38"/>
        <v>0</v>
      </c>
      <c r="S156">
        <f t="shared" si="39"/>
        <v>0</v>
      </c>
      <c r="T156">
        <f t="shared" si="40"/>
        <v>0</v>
      </c>
      <c r="U156">
        <f t="shared" si="41"/>
        <v>0</v>
      </c>
      <c r="V156">
        <f t="shared" si="42"/>
        <v>0</v>
      </c>
      <c r="W156">
        <f t="shared" si="43"/>
        <v>1</v>
      </c>
      <c r="X156">
        <f t="shared" si="44"/>
        <v>0</v>
      </c>
      <c r="Y156">
        <f t="shared" si="45"/>
        <v>0</v>
      </c>
      <c r="Z156">
        <f t="shared" si="46"/>
        <v>1</v>
      </c>
      <c r="AA156">
        <v>1</v>
      </c>
      <c r="AB156">
        <f>VLOOKUP(F156,[1]pff_ppr_projections!$B:$D,3,FALSE)</f>
        <v>33.1</v>
      </c>
      <c r="AC156" s="1">
        <f>AVERAGE(AB156,AD156,AE156)</f>
        <v>50.24202493788065</v>
      </c>
      <c r="AD156">
        <f>VLOOKUP(F156,[3]rotoballer_ppr_projections!$B:$G,6,FALSE)</f>
        <v>42</v>
      </c>
      <c r="AE156">
        <f>VLOOKUP(F156,[4]ppr!$B:$E,4,FALSE)</f>
        <v>75.626074813641949</v>
      </c>
      <c r="AF156">
        <f>VLOOKUP(F156,[4]half_ppr!$B:$E,4,FALSE)</f>
        <v>67.61984774579399</v>
      </c>
      <c r="AG156">
        <f>VLOOKUP(F156,[4]std!$B:$E,4,FALSE)</f>
        <v>59.613620677946038</v>
      </c>
      <c r="AH156">
        <f>IFERROR(VLOOKUP(F156,[5]actual_week11_ppr_stats!$A:$B,2,FALSE),0)</f>
        <v>11.3</v>
      </c>
    </row>
    <row r="157" spans="1:34" x14ac:dyDescent="0.2">
      <c r="A157">
        <v>156</v>
      </c>
      <c r="B157">
        <v>17997</v>
      </c>
      <c r="C157" t="s">
        <v>189</v>
      </c>
      <c r="D157" t="str" cm="1">
        <f t="array" ref="D157:E157">_xlfn.TEXTSPLIT(C157, ", ")</f>
        <v>Love</v>
      </c>
      <c r="E157" t="str">
        <v>Jordan</v>
      </c>
      <c r="F157" t="str">
        <f t="shared" si="32"/>
        <v>Jordan Love</v>
      </c>
      <c r="G157" t="s">
        <v>40</v>
      </c>
      <c r="H157" t="s">
        <v>57</v>
      </c>
      <c r="I157">
        <v>158.51</v>
      </c>
      <c r="J157">
        <v>114</v>
      </c>
      <c r="K157">
        <v>213</v>
      </c>
      <c r="L157">
        <f>VLOOKUP(G157,byes!$A:$B,2,FALSE)</f>
        <v>5</v>
      </c>
      <c r="M157">
        <f t="shared" si="33"/>
        <v>1</v>
      </c>
      <c r="N157">
        <f t="shared" si="34"/>
        <v>0</v>
      </c>
      <c r="O157">
        <f t="shared" si="35"/>
        <v>0</v>
      </c>
      <c r="P157">
        <f t="shared" si="36"/>
        <v>0</v>
      </c>
      <c r="Q157">
        <f t="shared" si="37"/>
        <v>0</v>
      </c>
      <c r="R157">
        <f t="shared" si="38"/>
        <v>0</v>
      </c>
      <c r="S157">
        <f t="shared" si="39"/>
        <v>0</v>
      </c>
      <c r="T157">
        <f t="shared" si="40"/>
        <v>0</v>
      </c>
      <c r="U157">
        <f t="shared" si="41"/>
        <v>0</v>
      </c>
      <c r="V157">
        <f t="shared" si="42"/>
        <v>1</v>
      </c>
      <c r="W157">
        <f t="shared" si="43"/>
        <v>0</v>
      </c>
      <c r="X157">
        <f t="shared" si="44"/>
        <v>0</v>
      </c>
      <c r="Y157">
        <f t="shared" si="45"/>
        <v>0</v>
      </c>
      <c r="Z157">
        <f t="shared" si="46"/>
        <v>0</v>
      </c>
      <c r="AA157">
        <f t="shared" si="47"/>
        <v>1</v>
      </c>
      <c r="AB157">
        <f>VLOOKUP(F157,[1]pff_ppr_projections!$B:$D,3,FALSE)</f>
        <v>266</v>
      </c>
      <c r="AC157">
        <f>VLOOKUP(F157,[2]numberFire_ppr_projections!$A:$B,2,FALSE)</f>
        <v>296.39999999999998</v>
      </c>
      <c r="AD157">
        <f>VLOOKUP(F157,[3]rotoballer_ppr_projections!$B:$G,6,FALSE)</f>
        <v>272</v>
      </c>
      <c r="AE157">
        <f>VLOOKUP(F157,[4]ppr!$B:$E,4,FALSE)</f>
        <v>274.38326973241618</v>
      </c>
      <c r="AF157">
        <f>VLOOKUP(F157,[4]half_ppr!$B:$E,4,FALSE)</f>
        <v>274.38326973241618</v>
      </c>
      <c r="AG157">
        <f>VLOOKUP(F157,[4]std!$B:$E,4,FALSE)</f>
        <v>274.38326973241618</v>
      </c>
      <c r="AH157">
        <f>IFERROR(VLOOKUP(F157,[5]actual_week11_ppr_stats!$A:$B,2,FALSE),0)</f>
        <v>168.3</v>
      </c>
    </row>
    <row r="158" spans="1:34" x14ac:dyDescent="0.2">
      <c r="A158">
        <v>157</v>
      </c>
      <c r="B158">
        <v>21150</v>
      </c>
      <c r="C158" t="s">
        <v>190</v>
      </c>
      <c r="D158" t="str" cm="1">
        <f t="array" ref="D158:E158">_xlfn.TEXTSPLIT(C158, ", ")</f>
        <v>McCarthy</v>
      </c>
      <c r="E158" t="str">
        <v>J.J.</v>
      </c>
      <c r="F158" t="str">
        <f t="shared" si="32"/>
        <v>JJ McCarthy</v>
      </c>
      <c r="G158" t="s">
        <v>20</v>
      </c>
      <c r="H158" t="s">
        <v>57</v>
      </c>
      <c r="I158">
        <v>158.96</v>
      </c>
      <c r="J158">
        <v>114</v>
      </c>
      <c r="K158">
        <v>205</v>
      </c>
      <c r="L158">
        <f>VLOOKUP(G158,byes!$A:$B,2,FALSE)</f>
        <v>6</v>
      </c>
      <c r="M158">
        <f t="shared" si="33"/>
        <v>0</v>
      </c>
      <c r="N158">
        <f t="shared" si="34"/>
        <v>1</v>
      </c>
      <c r="O158">
        <f t="shared" si="35"/>
        <v>0</v>
      </c>
      <c r="P158">
        <f t="shared" si="36"/>
        <v>0</v>
      </c>
      <c r="Q158">
        <f t="shared" si="37"/>
        <v>0</v>
      </c>
      <c r="R158">
        <f t="shared" si="38"/>
        <v>0</v>
      </c>
      <c r="S158">
        <f t="shared" si="39"/>
        <v>0</v>
      </c>
      <c r="T158">
        <f t="shared" si="40"/>
        <v>0</v>
      </c>
      <c r="U158">
        <f t="shared" si="41"/>
        <v>0</v>
      </c>
      <c r="V158">
        <f t="shared" si="42"/>
        <v>1</v>
      </c>
      <c r="W158">
        <f t="shared" si="43"/>
        <v>0</v>
      </c>
      <c r="X158">
        <f t="shared" si="44"/>
        <v>0</v>
      </c>
      <c r="Y158">
        <f t="shared" si="45"/>
        <v>0</v>
      </c>
      <c r="Z158">
        <f t="shared" si="46"/>
        <v>0</v>
      </c>
      <c r="AA158">
        <v>1</v>
      </c>
      <c r="AB158">
        <f>VLOOKUP(F158,[1]pff_ppr_projections!$B:$D,3,FALSE)</f>
        <v>257.3</v>
      </c>
      <c r="AC158">
        <f>VLOOKUP(F158,[2]numberFire_ppr_projections!$A:$B,2,FALSE)</f>
        <v>318.39999999999998</v>
      </c>
      <c r="AD158">
        <f>VLOOKUP(F158,[3]rotoballer_ppr_projections!$B:$G,6,FALSE)</f>
        <v>280</v>
      </c>
      <c r="AE158">
        <f>VLOOKUP(F158,[4]ppr!$B:$E,4,FALSE)</f>
        <v>266.84551510499995</v>
      </c>
      <c r="AF158">
        <f>VLOOKUP(F158,[4]half_ppr!$B:$E,4,FALSE)</f>
        <v>266.84551510499995</v>
      </c>
      <c r="AG158">
        <f>VLOOKUP(F158,[4]std!$B:$E,4,FALSE)</f>
        <v>266.84551510499995</v>
      </c>
      <c r="AH158">
        <f>IFERROR(VLOOKUP(F158,[5]actual_week11_ppr_stats!$A:$B,2,FALSE),0)</f>
        <v>72.7</v>
      </c>
    </row>
    <row r="159" spans="1:34" x14ac:dyDescent="0.2">
      <c r="A159">
        <v>158</v>
      </c>
      <c r="B159">
        <v>22134</v>
      </c>
      <c r="C159" t="s">
        <v>191</v>
      </c>
      <c r="D159" t="str" cm="1">
        <f t="array" ref="D159:E159">_xlfn.TEXTSPLIT(C159, ", ")</f>
        <v>TeSlaa</v>
      </c>
      <c r="E159" t="str">
        <v>Isaac</v>
      </c>
      <c r="F159" t="str">
        <f t="shared" si="32"/>
        <v>Isaac TeSlaa</v>
      </c>
      <c r="G159" t="s">
        <v>14</v>
      </c>
      <c r="H159" t="s">
        <v>9</v>
      </c>
      <c r="I159">
        <v>159.71</v>
      </c>
      <c r="J159">
        <v>115</v>
      </c>
      <c r="K159">
        <v>240</v>
      </c>
      <c r="L159">
        <f>VLOOKUP(G159,byes!$A:$B,2,FALSE)</f>
        <v>8</v>
      </c>
      <c r="M159">
        <f t="shared" si="33"/>
        <v>0</v>
      </c>
      <c r="N159">
        <f t="shared" si="34"/>
        <v>0</v>
      </c>
      <c r="O159">
        <f t="shared" si="35"/>
        <v>0</v>
      </c>
      <c r="P159">
        <f t="shared" si="36"/>
        <v>1</v>
      </c>
      <c r="Q159">
        <f t="shared" si="37"/>
        <v>0</v>
      </c>
      <c r="R159">
        <f t="shared" si="38"/>
        <v>0</v>
      </c>
      <c r="S159">
        <f t="shared" si="39"/>
        <v>0</v>
      </c>
      <c r="T159">
        <f t="shared" si="40"/>
        <v>0</v>
      </c>
      <c r="U159">
        <f t="shared" si="41"/>
        <v>0</v>
      </c>
      <c r="V159">
        <f t="shared" si="42"/>
        <v>0</v>
      </c>
      <c r="W159">
        <f t="shared" si="43"/>
        <v>0</v>
      </c>
      <c r="X159">
        <f t="shared" si="44"/>
        <v>1</v>
      </c>
      <c r="Y159">
        <f t="shared" si="45"/>
        <v>0</v>
      </c>
      <c r="Z159">
        <f t="shared" si="46"/>
        <v>1</v>
      </c>
      <c r="AA159">
        <v>1</v>
      </c>
      <c r="AB159">
        <f>VLOOKUP(F159,[1]pff_ppr_projections!$B:$D,3,FALSE)</f>
        <v>41.5</v>
      </c>
      <c r="AC159" s="1">
        <f>AVERAGE(AB159,AD159,AE159)</f>
        <v>66.736069403626672</v>
      </c>
      <c r="AD159">
        <f>VLOOKUP(F159,[3]rotoballer_ppr_projections!$B:$G,6,FALSE)</f>
        <v>55</v>
      </c>
      <c r="AE159">
        <f>VLOOKUP(F159,[4]ppr!$B:$E,4,FALSE)</f>
        <v>103.70820821088</v>
      </c>
      <c r="AF159">
        <f>VLOOKUP(F159,[4]half_ppr!$B:$E,4,FALSE)</f>
        <v>84.474490070879995</v>
      </c>
      <c r="AG159">
        <f>VLOOKUP(F159,[4]std!$B:$E,4,FALSE)</f>
        <v>65.240771930880001</v>
      </c>
      <c r="AH159">
        <f>IFERROR(VLOOKUP(F159,[5]actual_week11_ppr_stats!$A:$B,2,FALSE),0)</f>
        <v>22.5</v>
      </c>
    </row>
    <row r="160" spans="1:34" x14ac:dyDescent="0.2">
      <c r="A160">
        <v>159</v>
      </c>
      <c r="B160">
        <v>12426</v>
      </c>
      <c r="C160" t="s">
        <v>192</v>
      </c>
      <c r="D160" t="str" cm="1">
        <f t="array" ref="D160:E160">_xlfn.TEXTSPLIT(C160, ", ")</f>
        <v>Thielen</v>
      </c>
      <c r="E160" t="str">
        <v>Adam</v>
      </c>
      <c r="F160" t="str">
        <f t="shared" si="32"/>
        <v>Adam Thielen</v>
      </c>
      <c r="G160" t="s">
        <v>20</v>
      </c>
      <c r="H160" t="s">
        <v>9</v>
      </c>
      <c r="I160">
        <v>160.06</v>
      </c>
      <c r="J160">
        <v>110</v>
      </c>
      <c r="K160">
        <v>201</v>
      </c>
      <c r="L160">
        <f>VLOOKUP(G160,byes!$A:$B,2,FALSE)</f>
        <v>6</v>
      </c>
      <c r="M160">
        <f t="shared" si="33"/>
        <v>0</v>
      </c>
      <c r="N160">
        <f t="shared" si="34"/>
        <v>1</v>
      </c>
      <c r="O160">
        <f t="shared" si="35"/>
        <v>0</v>
      </c>
      <c r="P160">
        <f t="shared" si="36"/>
        <v>0</v>
      </c>
      <c r="Q160">
        <f t="shared" si="37"/>
        <v>0</v>
      </c>
      <c r="R160">
        <f t="shared" si="38"/>
        <v>0</v>
      </c>
      <c r="S160">
        <f t="shared" si="39"/>
        <v>0</v>
      </c>
      <c r="T160">
        <f t="shared" si="40"/>
        <v>0</v>
      </c>
      <c r="U160">
        <f t="shared" si="41"/>
        <v>0</v>
      </c>
      <c r="V160">
        <f t="shared" si="42"/>
        <v>0</v>
      </c>
      <c r="W160">
        <f t="shared" si="43"/>
        <v>0</v>
      </c>
      <c r="X160">
        <f t="shared" si="44"/>
        <v>1</v>
      </c>
      <c r="Y160">
        <f t="shared" si="45"/>
        <v>0</v>
      </c>
      <c r="Z160">
        <f t="shared" si="46"/>
        <v>1</v>
      </c>
      <c r="AA160">
        <v>1</v>
      </c>
      <c r="AB160">
        <f>VLOOKUP(F160,[1]pff_ppr_projections!$B:$D,3,FALSE)</f>
        <v>165.3</v>
      </c>
      <c r="AC160">
        <f>VLOOKUP(F160,[2]numberFire_ppr_projections!$A:$B,2,FALSE)</f>
        <v>139.6</v>
      </c>
      <c r="AD160">
        <f>VLOOKUP(F160,[3]rotoballer_ppr_projections!$B:$G,6,FALSE)</f>
        <v>119</v>
      </c>
      <c r="AE160">
        <f>VLOOKUP(F160,[4]ppr!$B:$E,4,FALSE)</f>
        <v>89.774564713142368</v>
      </c>
      <c r="AF160">
        <f>VLOOKUP(F160,[4]half_ppr!$B:$E,4,FALSE)</f>
        <v>71.948003014742369</v>
      </c>
      <c r="AG160">
        <f>VLOOKUP(F160,[4]std!$B:$E,4,FALSE)</f>
        <v>54.121441316342377</v>
      </c>
      <c r="AH160">
        <f>IFERROR(VLOOKUP(F160,[5]actual_week11_ppr_stats!$A:$B,2,FALSE),0)</f>
        <v>14.9</v>
      </c>
    </row>
    <row r="161" spans="1:34" x14ac:dyDescent="0.2">
      <c r="A161">
        <v>160</v>
      </c>
      <c r="B161">
        <v>20280</v>
      </c>
      <c r="C161" t="s">
        <v>193</v>
      </c>
      <c r="D161" t="str" cm="1">
        <f t="array" ref="D161:E161">_xlfn.TEXTSPLIT(C161, ", ")</f>
        <v>Stroud</v>
      </c>
      <c r="E161" t="str">
        <v>C.J.</v>
      </c>
      <c r="F161" t="str">
        <f t="shared" si="32"/>
        <v>CJ Stroud</v>
      </c>
      <c r="G161" t="s">
        <v>28</v>
      </c>
      <c r="H161" t="s">
        <v>57</v>
      </c>
      <c r="I161">
        <v>161.41</v>
      </c>
      <c r="J161">
        <v>119</v>
      </c>
      <c r="K161">
        <v>227</v>
      </c>
      <c r="L161">
        <f>VLOOKUP(G161,byes!$A:$B,2,FALSE)</f>
        <v>6</v>
      </c>
      <c r="M161">
        <f t="shared" si="33"/>
        <v>0</v>
      </c>
      <c r="N161">
        <f t="shared" si="34"/>
        <v>1</v>
      </c>
      <c r="O161">
        <f t="shared" si="35"/>
        <v>0</v>
      </c>
      <c r="P161">
        <f t="shared" si="36"/>
        <v>0</v>
      </c>
      <c r="Q161">
        <f t="shared" si="37"/>
        <v>0</v>
      </c>
      <c r="R161">
        <f t="shared" si="38"/>
        <v>0</v>
      </c>
      <c r="S161">
        <f t="shared" si="39"/>
        <v>0</v>
      </c>
      <c r="T161">
        <f t="shared" si="40"/>
        <v>0</v>
      </c>
      <c r="U161">
        <f t="shared" si="41"/>
        <v>0</v>
      </c>
      <c r="V161">
        <f t="shared" si="42"/>
        <v>1</v>
      </c>
      <c r="W161">
        <f t="shared" si="43"/>
        <v>0</v>
      </c>
      <c r="X161">
        <f t="shared" si="44"/>
        <v>0</v>
      </c>
      <c r="Y161">
        <f t="shared" si="45"/>
        <v>0</v>
      </c>
      <c r="Z161">
        <f t="shared" si="46"/>
        <v>0</v>
      </c>
      <c r="AA161">
        <f t="shared" si="47"/>
        <v>1</v>
      </c>
      <c r="AB161">
        <f>VLOOKUP(F161,[1]pff_ppr_projections!$B:$D,3,FALSE)</f>
        <v>259.2</v>
      </c>
      <c r="AC161">
        <f>VLOOKUP(F161,[2]numberFire_ppr_projections!$A:$B,2,FALSE)</f>
        <v>298.60000000000002</v>
      </c>
      <c r="AD161">
        <f>VLOOKUP(F161,[3]rotoballer_ppr_projections!$B:$G,6,FALSE)</f>
        <v>258</v>
      </c>
      <c r="AE161">
        <f>VLOOKUP(F161,[4]ppr!$B:$E,4,FALSE)</f>
        <v>295.91472454876794</v>
      </c>
      <c r="AF161">
        <f>VLOOKUP(F161,[4]half_ppr!$B:$E,4,FALSE)</f>
        <v>295.91472454876794</v>
      </c>
      <c r="AG161">
        <f>VLOOKUP(F161,[4]std!$B:$E,4,FALSE)</f>
        <v>295.91472454876794</v>
      </c>
      <c r="AH161">
        <f>IFERROR(VLOOKUP(F161,[5]actual_week11_ppr_stats!$A:$B,2,FALSE),0)</f>
        <v>126</v>
      </c>
    </row>
    <row r="162" spans="1:34" x14ac:dyDescent="0.2">
      <c r="A162">
        <v>161</v>
      </c>
      <c r="B162">
        <v>18036</v>
      </c>
      <c r="C162" t="s">
        <v>194</v>
      </c>
      <c r="D162" t="str" cm="1">
        <f t="array" ref="D162:E162">_xlfn.TEXTSPLIT(C162, ", ")</f>
        <v>Dowdle</v>
      </c>
      <c r="E162" t="str">
        <v>Rico</v>
      </c>
      <c r="F162" t="str">
        <f t="shared" si="32"/>
        <v>Rico Dowdle</v>
      </c>
      <c r="G162" t="s">
        <v>68</v>
      </c>
      <c r="H162" t="s">
        <v>12</v>
      </c>
      <c r="I162">
        <v>161.62</v>
      </c>
      <c r="J162">
        <v>133</v>
      </c>
      <c r="K162">
        <v>210</v>
      </c>
      <c r="L162">
        <f>VLOOKUP(G162,byes!$A:$B,2,FALSE)</f>
        <v>14</v>
      </c>
      <c r="M162">
        <f t="shared" si="33"/>
        <v>0</v>
      </c>
      <c r="N162">
        <f t="shared" si="34"/>
        <v>0</v>
      </c>
      <c r="O162">
        <f t="shared" si="35"/>
        <v>0</v>
      </c>
      <c r="P162">
        <f t="shared" si="36"/>
        <v>0</v>
      </c>
      <c r="Q162">
        <f t="shared" si="37"/>
        <v>0</v>
      </c>
      <c r="R162">
        <f t="shared" si="38"/>
        <v>0</v>
      </c>
      <c r="S162">
        <f t="shared" si="39"/>
        <v>0</v>
      </c>
      <c r="T162">
        <f t="shared" si="40"/>
        <v>0</v>
      </c>
      <c r="U162">
        <f t="shared" si="41"/>
        <v>1</v>
      </c>
      <c r="V162">
        <f t="shared" si="42"/>
        <v>0</v>
      </c>
      <c r="W162">
        <f t="shared" si="43"/>
        <v>1</v>
      </c>
      <c r="X162">
        <f t="shared" si="44"/>
        <v>0</v>
      </c>
      <c r="Y162">
        <f t="shared" si="45"/>
        <v>0</v>
      </c>
      <c r="Z162">
        <f t="shared" si="46"/>
        <v>1</v>
      </c>
      <c r="AA162">
        <v>1</v>
      </c>
      <c r="AB162">
        <f>VLOOKUP(F162,[1]pff_ppr_projections!$B:$D,3,FALSE)</f>
        <v>102.8</v>
      </c>
      <c r="AC162">
        <f>VLOOKUP(F162,[2]numberFire_ppr_projections!$A:$B,2,FALSE)</f>
        <v>114.5</v>
      </c>
      <c r="AD162">
        <f>VLOOKUP(F162,[3]rotoballer_ppr_projections!$B:$G,6,FALSE)</f>
        <v>94</v>
      </c>
      <c r="AE162">
        <f>VLOOKUP(F162,[4]ppr!$B:$E,4,FALSE)</f>
        <v>93.586937066700372</v>
      </c>
      <c r="AF162">
        <f>VLOOKUP(F162,[4]half_ppr!$B:$E,4,FALSE)</f>
        <v>85.690711342950365</v>
      </c>
      <c r="AG162">
        <f>VLOOKUP(F162,[4]std!$B:$E,4,FALSE)</f>
        <v>77.794485619200373</v>
      </c>
      <c r="AH162">
        <f>IFERROR(VLOOKUP(F162,[5]actual_week11_ppr_stats!$A:$B,2,FALSE),0)</f>
        <v>162</v>
      </c>
    </row>
    <row r="163" spans="1:34" x14ac:dyDescent="0.2">
      <c r="A163">
        <v>162</v>
      </c>
      <c r="B163">
        <v>18779</v>
      </c>
      <c r="C163" t="s">
        <v>195</v>
      </c>
      <c r="D163" t="str" cm="1">
        <f t="array" ref="D163:E163">_xlfn.TEXTSPLIT(C163, ", ")</f>
        <v>Lawrence</v>
      </c>
      <c r="E163" t="str">
        <v>Trevor</v>
      </c>
      <c r="F163" t="str">
        <f t="shared" si="32"/>
        <v>Trevor Lawrence</v>
      </c>
      <c r="G163" t="s">
        <v>26</v>
      </c>
      <c r="H163" t="s">
        <v>57</v>
      </c>
      <c r="I163">
        <v>162.01</v>
      </c>
      <c r="J163">
        <v>116</v>
      </c>
      <c r="K163">
        <v>203</v>
      </c>
      <c r="L163">
        <f>VLOOKUP(G163,byes!$A:$B,2,FALSE)</f>
        <v>8</v>
      </c>
      <c r="M163">
        <f t="shared" si="33"/>
        <v>0</v>
      </c>
      <c r="N163">
        <f t="shared" si="34"/>
        <v>0</v>
      </c>
      <c r="O163">
        <f t="shared" si="35"/>
        <v>0</v>
      </c>
      <c r="P163">
        <f t="shared" si="36"/>
        <v>1</v>
      </c>
      <c r="Q163">
        <f t="shared" si="37"/>
        <v>0</v>
      </c>
      <c r="R163">
        <f t="shared" si="38"/>
        <v>0</v>
      </c>
      <c r="S163">
        <f t="shared" si="39"/>
        <v>0</v>
      </c>
      <c r="T163">
        <f t="shared" si="40"/>
        <v>0</v>
      </c>
      <c r="U163">
        <f t="shared" si="41"/>
        <v>0</v>
      </c>
      <c r="V163">
        <f t="shared" si="42"/>
        <v>1</v>
      </c>
      <c r="W163">
        <f t="shared" si="43"/>
        <v>0</v>
      </c>
      <c r="X163">
        <f t="shared" si="44"/>
        <v>0</v>
      </c>
      <c r="Y163">
        <f t="shared" si="45"/>
        <v>0</v>
      </c>
      <c r="Z163">
        <f t="shared" si="46"/>
        <v>0</v>
      </c>
      <c r="AA163">
        <v>1</v>
      </c>
      <c r="AB163">
        <f>VLOOKUP(F163,[1]pff_ppr_projections!$B:$D,3,FALSE)</f>
        <v>254</v>
      </c>
      <c r="AC163" s="1">
        <f>AVERAGE(AB163,AD163,AE163)</f>
        <v>264.21327319876769</v>
      </c>
      <c r="AD163">
        <f>VLOOKUP(F163,[3]rotoballer_ppr_projections!$B:$G,6,FALSE)</f>
        <v>239</v>
      </c>
      <c r="AE163">
        <f>VLOOKUP(F163,[4]ppr!$B:$E,4,FALSE)</f>
        <v>299.63981959630308</v>
      </c>
      <c r="AF163">
        <f>VLOOKUP(F163,[4]half_ppr!$B:$E,4,FALSE)</f>
        <v>299.63981959630308</v>
      </c>
      <c r="AG163">
        <f>VLOOKUP(F163,[4]std!$B:$E,4,FALSE)</f>
        <v>299.63981959630308</v>
      </c>
      <c r="AH163">
        <f>IFERROR(VLOOKUP(F163,[5]actual_week11_ppr_stats!$A:$B,2,FALSE),0)</f>
        <v>170.1</v>
      </c>
    </row>
    <row r="164" spans="1:34" x14ac:dyDescent="0.2">
      <c r="A164">
        <v>163</v>
      </c>
      <c r="B164">
        <v>22074</v>
      </c>
      <c r="C164" t="s">
        <v>261</v>
      </c>
      <c r="D164" t="str" cm="1">
        <f t="array" ref="D164:E164">_xlfn.TEXTSPLIT(C164, ", ")</f>
        <v>Harris</v>
      </c>
      <c r="E164" t="str">
        <v>Tre</v>
      </c>
      <c r="F164" t="str">
        <f t="shared" si="32"/>
        <v>Tre Harris</v>
      </c>
      <c r="G164" t="s">
        <v>49</v>
      </c>
      <c r="H164" t="s">
        <v>9</v>
      </c>
      <c r="I164">
        <v>169.09</v>
      </c>
      <c r="J164">
        <v>109</v>
      </c>
      <c r="K164">
        <v>236</v>
      </c>
      <c r="L164">
        <f>VLOOKUP(G164,byes!$A:$B,2,FALSE)</f>
        <v>12</v>
      </c>
      <c r="M164">
        <f t="shared" si="33"/>
        <v>0</v>
      </c>
      <c r="N164">
        <f t="shared" si="34"/>
        <v>0</v>
      </c>
      <c r="O164">
        <f t="shared" si="35"/>
        <v>0</v>
      </c>
      <c r="P164">
        <f t="shared" si="36"/>
        <v>0</v>
      </c>
      <c r="Q164">
        <f t="shared" si="37"/>
        <v>0</v>
      </c>
      <c r="R164">
        <f t="shared" si="38"/>
        <v>0</v>
      </c>
      <c r="S164">
        <f t="shared" si="39"/>
        <v>0</v>
      </c>
      <c r="T164">
        <f t="shared" si="40"/>
        <v>1</v>
      </c>
      <c r="U164">
        <f t="shared" si="41"/>
        <v>0</v>
      </c>
      <c r="V164">
        <f t="shared" si="42"/>
        <v>0</v>
      </c>
      <c r="W164">
        <f t="shared" si="43"/>
        <v>0</v>
      </c>
      <c r="X164">
        <f t="shared" si="44"/>
        <v>1</v>
      </c>
      <c r="Y164">
        <f t="shared" si="45"/>
        <v>0</v>
      </c>
      <c r="Z164">
        <f t="shared" si="46"/>
        <v>1</v>
      </c>
      <c r="AA164">
        <v>1</v>
      </c>
      <c r="AB164">
        <f>VLOOKUP(F164,[1]pff_ppr_projections!$B:$D,3,FALSE)</f>
        <v>104.7</v>
      </c>
      <c r="AC164">
        <f>VLOOKUP(F164,[2]numberFire_ppr_projections!$A:$B,2,FALSE)</f>
        <v>152.30000000000001</v>
      </c>
      <c r="AD164">
        <f>VLOOKUP(F164,[3]rotoballer_ppr_projections!$B:$G,6,FALSE)</f>
        <v>111</v>
      </c>
      <c r="AE164">
        <f>VLOOKUP(F164,[4]ppr!$B:$E,4,FALSE)</f>
        <v>122.57989486142401</v>
      </c>
      <c r="AF164">
        <f>VLOOKUP(F164,[4]half_ppr!$B:$E,4,FALSE)</f>
        <v>100.84587094982399</v>
      </c>
      <c r="AG164">
        <f>VLOOKUP(F164,[4]std!$B:$E,4,FALSE)</f>
        <v>79.111847038223999</v>
      </c>
      <c r="AH164">
        <f>IFERROR(VLOOKUP(F164,[5]actual_week11_ppr_stats!$A:$B,2,FALSE),0)</f>
        <v>35.700000000000003</v>
      </c>
    </row>
    <row r="165" spans="1:34" x14ac:dyDescent="0.2">
      <c r="A165">
        <v>164</v>
      </c>
      <c r="B165">
        <v>20344</v>
      </c>
      <c r="C165" t="s">
        <v>196</v>
      </c>
      <c r="D165" t="str" cm="1">
        <f t="array" ref="D165:E165">_xlfn.TEXTSPLIT(C165, ", ")</f>
        <v>Mitchell</v>
      </c>
      <c r="E165" t="str">
        <v>Keaton</v>
      </c>
      <c r="F165" t="str">
        <f t="shared" si="32"/>
        <v>Keaton Mitchell</v>
      </c>
      <c r="G165" t="s">
        <v>33</v>
      </c>
      <c r="H165" t="s">
        <v>12</v>
      </c>
      <c r="I165">
        <v>169.12</v>
      </c>
      <c r="J165">
        <v>139</v>
      </c>
      <c r="K165">
        <v>214</v>
      </c>
      <c r="L165">
        <f>VLOOKUP(G165,byes!$A:$B,2,FALSE)</f>
        <v>7</v>
      </c>
      <c r="M165">
        <f t="shared" si="33"/>
        <v>0</v>
      </c>
      <c r="N165">
        <f t="shared" si="34"/>
        <v>0</v>
      </c>
      <c r="O165">
        <f t="shared" si="35"/>
        <v>1</v>
      </c>
      <c r="P165">
        <f t="shared" si="36"/>
        <v>0</v>
      </c>
      <c r="Q165">
        <f t="shared" si="37"/>
        <v>0</v>
      </c>
      <c r="R165">
        <f t="shared" si="38"/>
        <v>0</v>
      </c>
      <c r="S165">
        <f t="shared" si="39"/>
        <v>0</v>
      </c>
      <c r="T165">
        <f t="shared" si="40"/>
        <v>0</v>
      </c>
      <c r="U165">
        <f t="shared" si="41"/>
        <v>0</v>
      </c>
      <c r="V165">
        <f t="shared" si="42"/>
        <v>0</v>
      </c>
      <c r="W165">
        <f t="shared" si="43"/>
        <v>1</v>
      </c>
      <c r="X165">
        <f t="shared" si="44"/>
        <v>0</v>
      </c>
      <c r="Y165">
        <f t="shared" si="45"/>
        <v>0</v>
      </c>
      <c r="Z165">
        <f t="shared" si="46"/>
        <v>1</v>
      </c>
      <c r="AA165">
        <f t="shared" si="47"/>
        <v>1</v>
      </c>
      <c r="AB165">
        <f>VLOOKUP(F165,[1]pff_ppr_projections!$B:$D,3,FALSE)</f>
        <v>47</v>
      </c>
      <c r="AC165">
        <f>VLOOKUP(F165,[2]numberFire_ppr_projections!$A:$B,2,FALSE)</f>
        <v>86.3</v>
      </c>
      <c r="AD165">
        <f>VLOOKUP(F165,[3]rotoballer_ppr_projections!$B:$G,6,FALSE)</f>
        <v>56</v>
      </c>
      <c r="AE165">
        <f>VLOOKUP(F165,[4]ppr!$B:$E,4,FALSE)</f>
        <v>63.672712780761614</v>
      </c>
      <c r="AF165">
        <f>VLOOKUP(F165,[4]half_ppr!$B:$E,4,FALSE)</f>
        <v>54.927271580601619</v>
      </c>
      <c r="AG165">
        <f>VLOOKUP(F165,[4]std!$B:$E,4,FALSE)</f>
        <v>46.181830380441617</v>
      </c>
      <c r="AH165">
        <f>IFERROR(VLOOKUP(F165,[5]actual_week11_ppr_stats!$A:$B,2,FALSE),0)</f>
        <v>19.899999999999999</v>
      </c>
    </row>
    <row r="166" spans="1:34" x14ac:dyDescent="0.2">
      <c r="A166">
        <v>165</v>
      </c>
      <c r="B166">
        <v>20278</v>
      </c>
      <c r="C166" t="s">
        <v>197</v>
      </c>
      <c r="D166" t="str" cm="1">
        <f t="array" ref="D166:E166">_xlfn.TEXTSPLIT(C166, ", ")</f>
        <v>Corum</v>
      </c>
      <c r="E166" t="str">
        <v>Blake</v>
      </c>
      <c r="F166" t="str">
        <f t="shared" si="32"/>
        <v>Blake Corum</v>
      </c>
      <c r="G166" t="s">
        <v>35</v>
      </c>
      <c r="H166" t="s">
        <v>12</v>
      </c>
      <c r="I166">
        <v>169.77</v>
      </c>
      <c r="J166">
        <v>108</v>
      </c>
      <c r="K166">
        <v>225</v>
      </c>
      <c r="L166">
        <f>VLOOKUP(G166,byes!$A:$B,2,FALSE)</f>
        <v>8</v>
      </c>
      <c r="M166">
        <f t="shared" si="33"/>
        <v>0</v>
      </c>
      <c r="N166">
        <f t="shared" si="34"/>
        <v>0</v>
      </c>
      <c r="O166">
        <f t="shared" si="35"/>
        <v>0</v>
      </c>
      <c r="P166">
        <f t="shared" si="36"/>
        <v>1</v>
      </c>
      <c r="Q166">
        <f t="shared" si="37"/>
        <v>0</v>
      </c>
      <c r="R166">
        <f t="shared" si="38"/>
        <v>0</v>
      </c>
      <c r="S166">
        <f t="shared" si="39"/>
        <v>0</v>
      </c>
      <c r="T166">
        <f t="shared" si="40"/>
        <v>0</v>
      </c>
      <c r="U166">
        <f t="shared" si="41"/>
        <v>0</v>
      </c>
      <c r="V166">
        <f t="shared" si="42"/>
        <v>0</v>
      </c>
      <c r="W166">
        <f t="shared" si="43"/>
        <v>1</v>
      </c>
      <c r="X166">
        <f t="shared" si="44"/>
        <v>0</v>
      </c>
      <c r="Y166">
        <f t="shared" si="45"/>
        <v>0</v>
      </c>
      <c r="Z166">
        <f t="shared" si="46"/>
        <v>1</v>
      </c>
      <c r="AA166">
        <v>1</v>
      </c>
      <c r="AB166">
        <f>VLOOKUP(F166,[1]pff_ppr_projections!$B:$D,3,FALSE)</f>
        <v>71.400000000000006</v>
      </c>
      <c r="AC166">
        <f>VLOOKUP(F166,[2]numberFire_ppr_projections!$A:$B,2,FALSE)</f>
        <v>128.30000000000001</v>
      </c>
      <c r="AD166">
        <f>VLOOKUP(F166,[3]rotoballer_ppr_projections!$B:$G,6,FALSE)</f>
        <v>68</v>
      </c>
      <c r="AE166">
        <f>VLOOKUP(F166,[4]ppr!$B:$E,4,FALSE)</f>
        <v>53.813208202469461</v>
      </c>
      <c r="AF166">
        <f>VLOOKUP(F166,[4]half_ppr!$B:$E,4,FALSE)</f>
        <v>51.063071470127383</v>
      </c>
      <c r="AG166">
        <f>VLOOKUP(F166,[4]std!$B:$E,4,FALSE)</f>
        <v>48.312934737785298</v>
      </c>
      <c r="AH166">
        <f>IFERROR(VLOOKUP(F166,[5]actual_week11_ppr_stats!$A:$B,2,FALSE),0)</f>
        <v>43.7</v>
      </c>
    </row>
    <row r="167" spans="1:34" x14ac:dyDescent="0.2">
      <c r="A167">
        <v>166</v>
      </c>
      <c r="B167">
        <v>22126</v>
      </c>
      <c r="C167" t="s">
        <v>262</v>
      </c>
      <c r="D167" t="str" cm="1">
        <f t="array" ref="D167:E167">_xlfn.TEXTSPLIT(C167, ", ")</f>
        <v>Thornton Jr</v>
      </c>
      <c r="E167" t="str">
        <v>Dont'e</v>
      </c>
      <c r="F167" t="str">
        <f t="shared" si="32"/>
        <v>Dont'e Thornton Jr</v>
      </c>
      <c r="G167" t="s">
        <v>30</v>
      </c>
      <c r="H167" t="s">
        <v>9</v>
      </c>
      <c r="I167">
        <v>171.08</v>
      </c>
      <c r="J167">
        <v>118</v>
      </c>
      <c r="K167">
        <v>210</v>
      </c>
      <c r="L167">
        <f>VLOOKUP(G167,byes!$A:$B,2,FALSE)</f>
        <v>8</v>
      </c>
      <c r="M167">
        <f t="shared" si="33"/>
        <v>0</v>
      </c>
      <c r="N167">
        <f t="shared" si="34"/>
        <v>0</v>
      </c>
      <c r="O167">
        <f t="shared" si="35"/>
        <v>0</v>
      </c>
      <c r="P167">
        <f t="shared" si="36"/>
        <v>1</v>
      </c>
      <c r="Q167">
        <f t="shared" si="37"/>
        <v>0</v>
      </c>
      <c r="R167">
        <f t="shared" si="38"/>
        <v>0</v>
      </c>
      <c r="S167">
        <f t="shared" si="39"/>
        <v>0</v>
      </c>
      <c r="T167">
        <f t="shared" si="40"/>
        <v>0</v>
      </c>
      <c r="U167">
        <f t="shared" si="41"/>
        <v>0</v>
      </c>
      <c r="V167">
        <f t="shared" si="42"/>
        <v>0</v>
      </c>
      <c r="W167">
        <f t="shared" si="43"/>
        <v>0</v>
      </c>
      <c r="X167">
        <f t="shared" si="44"/>
        <v>1</v>
      </c>
      <c r="Y167">
        <f t="shared" si="45"/>
        <v>0</v>
      </c>
      <c r="Z167">
        <f t="shared" si="46"/>
        <v>1</v>
      </c>
      <c r="AA167">
        <v>1</v>
      </c>
      <c r="AB167">
        <f>VLOOKUP(F167,[1]pff_ppr_projections!$B:$D,3,FALSE)</f>
        <v>38.299999999999997</v>
      </c>
      <c r="AC167" s="1">
        <f>AVERAGE(AB167,AD167,AE167)</f>
        <v>65.087931965192524</v>
      </c>
      <c r="AD167">
        <f>VLOOKUP(F167,[3]rotoballer_ppr_projections!$B:$G,6,FALSE)</f>
        <v>71</v>
      </c>
      <c r="AE167">
        <f>VLOOKUP(F167,[4]ppr!$B:$E,4,FALSE)</f>
        <v>85.96379589557759</v>
      </c>
      <c r="AF167">
        <f>VLOOKUP(F167,[4]half_ppr!$B:$E,4,FALSE)</f>
        <v>69.901801146777601</v>
      </c>
      <c r="AG167">
        <f>VLOOKUP(F167,[4]std!$B:$E,4,FALSE)</f>
        <v>53.839806397977597</v>
      </c>
      <c r="AH167">
        <f>IFERROR(VLOOKUP(F167,[5]actual_week11_ppr_stats!$A:$B,2,FALSE),0)</f>
        <v>15.8</v>
      </c>
    </row>
    <row r="168" spans="1:34" x14ac:dyDescent="0.2">
      <c r="A168">
        <v>167</v>
      </c>
      <c r="B168">
        <v>22128</v>
      </c>
      <c r="C168" t="s">
        <v>198</v>
      </c>
      <c r="D168" t="str" cm="1">
        <f t="array" ref="D168:E168">_xlfn.TEXTSPLIT(C168, ", ")</f>
        <v>Williams</v>
      </c>
      <c r="E168" t="str">
        <v>Kyle</v>
      </c>
      <c r="F168" t="str">
        <f t="shared" si="32"/>
        <v>Kyle Williams</v>
      </c>
      <c r="G168" t="s">
        <v>64</v>
      </c>
      <c r="H168" t="s">
        <v>9</v>
      </c>
      <c r="I168">
        <v>175.85</v>
      </c>
      <c r="J168">
        <v>125</v>
      </c>
      <c r="K168">
        <v>234</v>
      </c>
      <c r="L168">
        <f>VLOOKUP(G168,byes!$A:$B,2,FALSE)</f>
        <v>14</v>
      </c>
      <c r="M168">
        <f t="shared" si="33"/>
        <v>0</v>
      </c>
      <c r="N168">
        <f t="shared" si="34"/>
        <v>0</v>
      </c>
      <c r="O168">
        <f t="shared" si="35"/>
        <v>0</v>
      </c>
      <c r="P168">
        <f t="shared" si="36"/>
        <v>0</v>
      </c>
      <c r="Q168">
        <f t="shared" si="37"/>
        <v>0</v>
      </c>
      <c r="R168">
        <f t="shared" si="38"/>
        <v>0</v>
      </c>
      <c r="S168">
        <f t="shared" si="39"/>
        <v>0</v>
      </c>
      <c r="T168">
        <f t="shared" si="40"/>
        <v>0</v>
      </c>
      <c r="U168">
        <f t="shared" si="41"/>
        <v>1</v>
      </c>
      <c r="V168">
        <f t="shared" si="42"/>
        <v>0</v>
      </c>
      <c r="W168">
        <f t="shared" si="43"/>
        <v>0</v>
      </c>
      <c r="X168">
        <f t="shared" si="44"/>
        <v>1</v>
      </c>
      <c r="Y168">
        <f t="shared" si="45"/>
        <v>0</v>
      </c>
      <c r="Z168">
        <f t="shared" si="46"/>
        <v>1</v>
      </c>
      <c r="AA168">
        <v>1</v>
      </c>
      <c r="AB168">
        <f>VLOOKUP(F168,[1]pff_ppr_projections!$B:$D,3,FALSE)</f>
        <v>87.6</v>
      </c>
      <c r="AC168" s="1">
        <f t="shared" ref="AC168:AC170" si="48">AVERAGE(AB168,AD168,AE168)</f>
        <v>84.761632669124268</v>
      </c>
      <c r="AD168">
        <f>VLOOKUP(F168,[3]rotoballer_ppr_projections!$B:$G,6,FALSE)</f>
        <v>92</v>
      </c>
      <c r="AE168">
        <f>VLOOKUP(F168,[4]ppr!$B:$E,4,FALSE)</f>
        <v>74.684898007372809</v>
      </c>
      <c r="AF168">
        <f>VLOOKUP(F168,[4]half_ppr!$B:$E,4,FALSE)</f>
        <v>61.081091448652813</v>
      </c>
      <c r="AG168">
        <f>VLOOKUP(F168,[4]std!$B:$E,4,FALSE)</f>
        <v>47.477284889932811</v>
      </c>
      <c r="AH168">
        <f>IFERROR(VLOOKUP(F168,[5]actual_week11_ppr_stats!$A:$B,2,FALSE),0)</f>
        <v>18</v>
      </c>
    </row>
    <row r="169" spans="1:34" x14ac:dyDescent="0.2">
      <c r="A169">
        <v>168</v>
      </c>
      <c r="B169">
        <v>14968</v>
      </c>
      <c r="C169" t="s">
        <v>199</v>
      </c>
      <c r="D169" t="str" cm="1">
        <f t="array" ref="D169:E169">_xlfn.TEXTSPLIT(C169, ", ")</f>
        <v>Henry</v>
      </c>
      <c r="E169" t="str">
        <v>Hunter</v>
      </c>
      <c r="F169" t="str">
        <f t="shared" si="32"/>
        <v>Hunter Henry</v>
      </c>
      <c r="G169" t="s">
        <v>64</v>
      </c>
      <c r="H169" t="s">
        <v>47</v>
      </c>
      <c r="I169">
        <v>175.94</v>
      </c>
      <c r="J169">
        <v>134</v>
      </c>
      <c r="K169">
        <v>221</v>
      </c>
      <c r="L169">
        <f>VLOOKUP(G169,byes!$A:$B,2,FALSE)</f>
        <v>14</v>
      </c>
      <c r="M169">
        <f t="shared" si="33"/>
        <v>0</v>
      </c>
      <c r="N169">
        <f t="shared" si="34"/>
        <v>0</v>
      </c>
      <c r="O169">
        <f t="shared" si="35"/>
        <v>0</v>
      </c>
      <c r="P169">
        <f t="shared" si="36"/>
        <v>0</v>
      </c>
      <c r="Q169">
        <f t="shared" si="37"/>
        <v>0</v>
      </c>
      <c r="R169">
        <f t="shared" si="38"/>
        <v>0</v>
      </c>
      <c r="S169">
        <f t="shared" si="39"/>
        <v>0</v>
      </c>
      <c r="T169">
        <f t="shared" si="40"/>
        <v>0</v>
      </c>
      <c r="U169">
        <f t="shared" si="41"/>
        <v>1</v>
      </c>
      <c r="V169">
        <f t="shared" si="42"/>
        <v>0</v>
      </c>
      <c r="W169">
        <f t="shared" si="43"/>
        <v>0</v>
      </c>
      <c r="X169">
        <f t="shared" si="44"/>
        <v>0</v>
      </c>
      <c r="Y169">
        <f t="shared" si="45"/>
        <v>1</v>
      </c>
      <c r="Z169">
        <f t="shared" si="46"/>
        <v>1</v>
      </c>
      <c r="AA169">
        <f t="shared" si="47"/>
        <v>1</v>
      </c>
      <c r="AB169">
        <f>VLOOKUP(F169,[1]pff_ppr_projections!$B:$D,3,FALSE)</f>
        <v>134.19999999999999</v>
      </c>
      <c r="AC169" s="1">
        <f t="shared" si="48"/>
        <v>143.83895466548097</v>
      </c>
      <c r="AD169">
        <f>VLOOKUP(F169,[3]rotoballer_ppr_projections!$B:$G,6,FALSE)</f>
        <v>131</v>
      </c>
      <c r="AE169">
        <f>VLOOKUP(F169,[4]ppr!$B:$E,4,FALSE)</f>
        <v>166.31686399644289</v>
      </c>
      <c r="AF169">
        <f>VLOOKUP(F169,[4]half_ppr!$B:$E,4,FALSE)</f>
        <v>133.69292048988288</v>
      </c>
      <c r="AG169">
        <f>VLOOKUP(F169,[4]std!$B:$E,4,FALSE)</f>
        <v>101.06897698332288</v>
      </c>
      <c r="AH169">
        <f>IFERROR(VLOOKUP(F169,[5]actual_week11_ppr_stats!$A:$B,2,FALSE),0)</f>
        <v>100.2</v>
      </c>
    </row>
    <row r="170" spans="1:34" x14ac:dyDescent="0.2">
      <c r="A170">
        <v>169</v>
      </c>
      <c r="B170">
        <v>22096</v>
      </c>
      <c r="C170" t="s">
        <v>200</v>
      </c>
      <c r="D170" t="str" cm="1">
        <f t="array" ref="D170:E170">_xlfn.TEXTSPLIT(C170, ", ")</f>
        <v>Giddens</v>
      </c>
      <c r="E170" t="str">
        <v>DJ</v>
      </c>
      <c r="F170" t="str">
        <f t="shared" si="32"/>
        <v>DJ Giddens</v>
      </c>
      <c r="G170" t="s">
        <v>43</v>
      </c>
      <c r="H170" t="s">
        <v>12</v>
      </c>
      <c r="I170">
        <v>178.2</v>
      </c>
      <c r="J170">
        <v>150</v>
      </c>
      <c r="K170">
        <v>216</v>
      </c>
      <c r="L170">
        <f>VLOOKUP(G170,byes!$A:$B,2,FALSE)</f>
        <v>11</v>
      </c>
      <c r="M170">
        <f t="shared" si="33"/>
        <v>0</v>
      </c>
      <c r="N170">
        <f t="shared" si="34"/>
        <v>0</v>
      </c>
      <c r="O170">
        <f t="shared" si="35"/>
        <v>0</v>
      </c>
      <c r="P170">
        <f t="shared" si="36"/>
        <v>0</v>
      </c>
      <c r="Q170">
        <f t="shared" si="37"/>
        <v>0</v>
      </c>
      <c r="R170">
        <f t="shared" si="38"/>
        <v>0</v>
      </c>
      <c r="S170">
        <f t="shared" si="39"/>
        <v>1</v>
      </c>
      <c r="T170">
        <f t="shared" si="40"/>
        <v>0</v>
      </c>
      <c r="U170">
        <f t="shared" si="41"/>
        <v>0</v>
      </c>
      <c r="V170">
        <f t="shared" si="42"/>
        <v>0</v>
      </c>
      <c r="W170">
        <f t="shared" si="43"/>
        <v>1</v>
      </c>
      <c r="X170">
        <f t="shared" si="44"/>
        <v>0</v>
      </c>
      <c r="Y170">
        <f t="shared" si="45"/>
        <v>0</v>
      </c>
      <c r="Z170">
        <f t="shared" si="46"/>
        <v>1</v>
      </c>
      <c r="AA170">
        <v>1</v>
      </c>
      <c r="AB170">
        <f>VLOOKUP(F170,[1]pff_ppr_projections!$B:$D,3,FALSE)</f>
        <v>46.4</v>
      </c>
      <c r="AC170" s="1">
        <f t="shared" si="48"/>
        <v>48.617895390802467</v>
      </c>
      <c r="AD170">
        <f>VLOOKUP(F170,[3]rotoballer_ppr_projections!$B:$G,6,FALSE)</f>
        <v>34</v>
      </c>
      <c r="AE170">
        <f>VLOOKUP(F170,[4]ppr!$B:$E,4,FALSE)</f>
        <v>65.453686172407402</v>
      </c>
      <c r="AF170">
        <f>VLOOKUP(F170,[4]half_ppr!$B:$E,4,FALSE)</f>
        <v>59.362320302587406</v>
      </c>
      <c r="AG170">
        <f>VLOOKUP(F170,[4]std!$B:$E,4,FALSE)</f>
        <v>53.270954432767404</v>
      </c>
      <c r="AH170">
        <f>IFERROR(VLOOKUP(F170,[5]actual_week11_ppr_stats!$A:$B,2,FALSE),0)</f>
        <v>6.6</v>
      </c>
    </row>
    <row r="171" spans="1:34" x14ac:dyDescent="0.2">
      <c r="A171">
        <v>170</v>
      </c>
      <c r="B171">
        <v>20425</v>
      </c>
      <c r="C171" t="s">
        <v>201</v>
      </c>
      <c r="D171" t="str" cm="1">
        <f t="array" ref="D171:E171">_xlfn.TEXTSPLIT(C171, ", ")</f>
        <v>Strange</v>
      </c>
      <c r="E171" t="str">
        <v>Brenton</v>
      </c>
      <c r="F171" t="str">
        <f t="shared" si="32"/>
        <v>Brenton Strange</v>
      </c>
      <c r="G171" t="s">
        <v>26</v>
      </c>
      <c r="H171" t="s">
        <v>47</v>
      </c>
      <c r="I171">
        <v>178.55</v>
      </c>
      <c r="J171">
        <v>143</v>
      </c>
      <c r="K171">
        <v>225</v>
      </c>
      <c r="L171">
        <f>VLOOKUP(G171,byes!$A:$B,2,FALSE)</f>
        <v>8</v>
      </c>
      <c r="M171">
        <f t="shared" si="33"/>
        <v>0</v>
      </c>
      <c r="N171">
        <f t="shared" si="34"/>
        <v>0</v>
      </c>
      <c r="O171">
        <f t="shared" si="35"/>
        <v>0</v>
      </c>
      <c r="P171">
        <f t="shared" si="36"/>
        <v>1</v>
      </c>
      <c r="Q171">
        <f t="shared" si="37"/>
        <v>0</v>
      </c>
      <c r="R171">
        <f t="shared" si="38"/>
        <v>0</v>
      </c>
      <c r="S171">
        <f t="shared" si="39"/>
        <v>0</v>
      </c>
      <c r="T171">
        <f t="shared" si="40"/>
        <v>0</v>
      </c>
      <c r="U171">
        <f t="shared" si="41"/>
        <v>0</v>
      </c>
      <c r="V171">
        <f t="shared" si="42"/>
        <v>0</v>
      </c>
      <c r="W171">
        <f t="shared" si="43"/>
        <v>0</v>
      </c>
      <c r="X171">
        <f t="shared" si="44"/>
        <v>0</v>
      </c>
      <c r="Y171">
        <f t="shared" si="45"/>
        <v>1</v>
      </c>
      <c r="Z171">
        <f t="shared" si="46"/>
        <v>1</v>
      </c>
      <c r="AA171">
        <v>1</v>
      </c>
      <c r="AB171">
        <f>VLOOKUP(F171,[1]pff_ppr_projections!$B:$D,3,FALSE)</f>
        <v>133.80000000000001</v>
      </c>
      <c r="AC171">
        <f>VLOOKUP(F171,[2]numberFire_ppr_projections!$A:$B,2,FALSE)</f>
        <v>118.1</v>
      </c>
      <c r="AD171">
        <f>VLOOKUP(F171,[3]rotoballer_ppr_projections!$B:$G,6,FALSE)</f>
        <v>132</v>
      </c>
      <c r="AE171">
        <f>VLOOKUP(F171,[4]ppr!$B:$E,4,FALSE)</f>
        <v>148.55229077969275</v>
      </c>
      <c r="AF171">
        <f>VLOOKUP(F171,[4]half_ppr!$B:$E,4,FALSE)</f>
        <v>118.11124758713277</v>
      </c>
      <c r="AG171">
        <f>VLOOKUP(F171,[4]std!$B:$E,4,FALSE)</f>
        <v>87.670204394572778</v>
      </c>
      <c r="AH171">
        <f>IFERROR(VLOOKUP(F171,[5]actual_week11_ppr_stats!$A:$B,2,FALSE),0)</f>
        <v>40.4</v>
      </c>
    </row>
    <row r="172" spans="1:34" x14ac:dyDescent="0.2">
      <c r="A172">
        <v>171</v>
      </c>
      <c r="B172">
        <v>22300</v>
      </c>
      <c r="C172" t="s">
        <v>202</v>
      </c>
      <c r="D172" t="str" cm="1">
        <f t="array" ref="D172:E172">_xlfn.TEXTSPLIT(C172, ", ")</f>
        <v>Brooks</v>
      </c>
      <c r="E172" t="str">
        <v>Tahj</v>
      </c>
      <c r="F172" t="str">
        <f t="shared" si="32"/>
        <v>Tahj Brooks</v>
      </c>
      <c r="G172" t="s">
        <v>8</v>
      </c>
      <c r="H172" t="s">
        <v>12</v>
      </c>
      <c r="I172">
        <v>180.72</v>
      </c>
      <c r="J172">
        <v>147</v>
      </c>
      <c r="K172">
        <v>228</v>
      </c>
      <c r="L172">
        <f>VLOOKUP(G172,byes!$A:$B,2,FALSE)</f>
        <v>10</v>
      </c>
      <c r="M172">
        <f t="shared" si="33"/>
        <v>0</v>
      </c>
      <c r="N172">
        <f t="shared" si="34"/>
        <v>0</v>
      </c>
      <c r="O172">
        <f t="shared" si="35"/>
        <v>0</v>
      </c>
      <c r="P172">
        <f t="shared" si="36"/>
        <v>0</v>
      </c>
      <c r="Q172">
        <f t="shared" si="37"/>
        <v>0</v>
      </c>
      <c r="R172">
        <f t="shared" si="38"/>
        <v>1</v>
      </c>
      <c r="S172">
        <f t="shared" si="39"/>
        <v>0</v>
      </c>
      <c r="T172">
        <f t="shared" si="40"/>
        <v>0</v>
      </c>
      <c r="U172">
        <f t="shared" si="41"/>
        <v>0</v>
      </c>
      <c r="V172">
        <f t="shared" si="42"/>
        <v>0</v>
      </c>
      <c r="W172">
        <f t="shared" si="43"/>
        <v>1</v>
      </c>
      <c r="X172">
        <f t="shared" si="44"/>
        <v>0</v>
      </c>
      <c r="Y172">
        <f t="shared" si="45"/>
        <v>0</v>
      </c>
      <c r="Z172">
        <f t="shared" si="46"/>
        <v>1</v>
      </c>
      <c r="AA172">
        <v>1</v>
      </c>
      <c r="AB172">
        <f>VLOOKUP(F172,[1]pff_ppr_projections!$B:$D,3,FALSE)</f>
        <v>2.1</v>
      </c>
      <c r="AC172" s="1">
        <f>AVERAGE(AB172,AD172,AE172)</f>
        <v>43.504492364256073</v>
      </c>
      <c r="AD172">
        <f>VLOOKUP(F172,[3]rotoballer_ppr_projections!$B:$G,6,FALSE)</f>
        <v>45</v>
      </c>
      <c r="AE172">
        <f>VLOOKUP(F172,[4]ppr!$B:$E,4,FALSE)</f>
        <v>83.413477092768218</v>
      </c>
      <c r="AF172">
        <f>VLOOKUP(F172,[4]half_ppr!$B:$E,4,FALSE)</f>
        <v>75.031821929768213</v>
      </c>
      <c r="AG172">
        <f>VLOOKUP(F172,[4]std!$B:$E,4,FALSE)</f>
        <v>66.650166766768209</v>
      </c>
      <c r="AH172">
        <f>IFERROR(VLOOKUP(F172,[5]actual_week11_ppr_stats!$A:$B,2,FALSE),0)</f>
        <v>2.2999999999999998</v>
      </c>
    </row>
    <row r="173" spans="1:34" x14ac:dyDescent="0.2">
      <c r="A173">
        <v>172</v>
      </c>
      <c r="B173">
        <v>20308</v>
      </c>
      <c r="C173" t="s">
        <v>203</v>
      </c>
      <c r="D173" t="str" cm="1">
        <f t="array" ref="D173:E173">_xlfn.TEXTSPLIT(C173, ", ")</f>
        <v>Rodriguez</v>
      </c>
      <c r="E173" t="str">
        <v>Chris</v>
      </c>
      <c r="F173" t="str">
        <f t="shared" si="32"/>
        <v>Chris Rodriguez</v>
      </c>
      <c r="G173" t="s">
        <v>71</v>
      </c>
      <c r="H173" t="s">
        <v>12</v>
      </c>
      <c r="I173">
        <v>181.11</v>
      </c>
      <c r="J173">
        <v>101</v>
      </c>
      <c r="K173">
        <v>240</v>
      </c>
      <c r="L173">
        <f>VLOOKUP(G173,byes!$A:$B,2,FALSE)</f>
        <v>12</v>
      </c>
      <c r="M173">
        <f t="shared" si="33"/>
        <v>0</v>
      </c>
      <c r="N173">
        <f t="shared" si="34"/>
        <v>0</v>
      </c>
      <c r="O173">
        <f t="shared" si="35"/>
        <v>0</v>
      </c>
      <c r="P173">
        <f t="shared" si="36"/>
        <v>0</v>
      </c>
      <c r="Q173">
        <f t="shared" si="37"/>
        <v>0</v>
      </c>
      <c r="R173">
        <f t="shared" si="38"/>
        <v>0</v>
      </c>
      <c r="S173">
        <f t="shared" si="39"/>
        <v>0</v>
      </c>
      <c r="T173">
        <f t="shared" si="40"/>
        <v>1</v>
      </c>
      <c r="U173">
        <f t="shared" si="41"/>
        <v>0</v>
      </c>
      <c r="V173">
        <f t="shared" si="42"/>
        <v>0</v>
      </c>
      <c r="W173">
        <f t="shared" si="43"/>
        <v>1</v>
      </c>
      <c r="X173">
        <f t="shared" si="44"/>
        <v>0</v>
      </c>
      <c r="Y173">
        <f t="shared" si="45"/>
        <v>0</v>
      </c>
      <c r="Z173">
        <f t="shared" si="46"/>
        <v>1</v>
      </c>
      <c r="AA173">
        <f t="shared" si="47"/>
        <v>1</v>
      </c>
      <c r="AB173">
        <f>VLOOKUP(F173,[1]pff_ppr_projections!$B:$D,3,FALSE)</f>
        <v>13.5</v>
      </c>
      <c r="AC173" s="1">
        <f t="shared" ref="AC173:AC174" si="49">AVERAGE(AB173,AD173,AE173)</f>
        <v>42.837077817943999</v>
      </c>
      <c r="AD173">
        <f>VLOOKUP(F173,[3]rotoballer_ppr_projections!$B:$G,6,FALSE)</f>
        <v>54</v>
      </c>
      <c r="AE173">
        <f>VLOOKUP(F173,[4]ppr!$B:$E,4,FALSE)</f>
        <v>61.011233453831998</v>
      </c>
      <c r="AF173">
        <f>VLOOKUP(F173,[4]half_ppr!$B:$E,4,FALSE)</f>
        <v>59.168671115555441</v>
      </c>
      <c r="AG173">
        <f>VLOOKUP(F173,[4]std!$B:$E,4,FALSE)</f>
        <v>57.32610877727889</v>
      </c>
      <c r="AH173">
        <f>IFERROR(VLOOKUP(F173,[5]actual_week11_ppr_stats!$A:$B,2,FALSE),0)</f>
        <v>47.5</v>
      </c>
    </row>
    <row r="174" spans="1:34" x14ac:dyDescent="0.2">
      <c r="A174">
        <v>173</v>
      </c>
      <c r="B174">
        <v>22091</v>
      </c>
      <c r="C174" t="s">
        <v>204</v>
      </c>
      <c r="D174" t="str" cm="1">
        <f t="array" ref="D174:E174">_xlfn.TEXTSPLIT(C174, ", ")</f>
        <v>Ayomanor</v>
      </c>
      <c r="E174" t="str">
        <v>Elic</v>
      </c>
      <c r="F174" t="str">
        <f t="shared" si="32"/>
        <v>Elic Ayomanor</v>
      </c>
      <c r="G174" t="s">
        <v>89</v>
      </c>
      <c r="H174" t="s">
        <v>9</v>
      </c>
      <c r="I174">
        <v>181.4</v>
      </c>
      <c r="J174">
        <v>130</v>
      </c>
      <c r="K174">
        <v>236</v>
      </c>
      <c r="L174">
        <f>VLOOKUP(G174,byes!$A:$B,2,FALSE)</f>
        <v>10</v>
      </c>
      <c r="M174">
        <f t="shared" si="33"/>
        <v>0</v>
      </c>
      <c r="N174">
        <f t="shared" si="34"/>
        <v>0</v>
      </c>
      <c r="O174">
        <f t="shared" si="35"/>
        <v>0</v>
      </c>
      <c r="P174">
        <f t="shared" si="36"/>
        <v>0</v>
      </c>
      <c r="Q174">
        <f t="shared" si="37"/>
        <v>0</v>
      </c>
      <c r="R174">
        <f t="shared" si="38"/>
        <v>1</v>
      </c>
      <c r="S174">
        <f t="shared" si="39"/>
        <v>0</v>
      </c>
      <c r="T174">
        <f t="shared" si="40"/>
        <v>0</v>
      </c>
      <c r="U174">
        <f t="shared" si="41"/>
        <v>0</v>
      </c>
      <c r="V174">
        <f t="shared" si="42"/>
        <v>0</v>
      </c>
      <c r="W174">
        <f t="shared" si="43"/>
        <v>0</v>
      </c>
      <c r="X174">
        <f t="shared" si="44"/>
        <v>1</v>
      </c>
      <c r="Y174">
        <f t="shared" si="45"/>
        <v>0</v>
      </c>
      <c r="Z174">
        <f t="shared" si="46"/>
        <v>1</v>
      </c>
      <c r="AA174">
        <v>1</v>
      </c>
      <c r="AB174">
        <f>VLOOKUP(F174,[1]pff_ppr_projections!$B:$D,3,FALSE)</f>
        <v>31.7</v>
      </c>
      <c r="AC174" s="1">
        <f t="shared" si="49"/>
        <v>80.044094664316788</v>
      </c>
      <c r="AD174">
        <f>VLOOKUP(F174,[3]rotoballer_ppr_projections!$B:$G,6,FALSE)</f>
        <v>79</v>
      </c>
      <c r="AE174">
        <f>VLOOKUP(F174,[4]ppr!$B:$E,4,FALSE)</f>
        <v>129.43228399295037</v>
      </c>
      <c r="AF174">
        <f>VLOOKUP(F174,[4]half_ppr!$B:$E,4,FALSE)</f>
        <v>105.24837442775039</v>
      </c>
      <c r="AG174">
        <f>VLOOKUP(F174,[4]std!$B:$E,4,FALSE)</f>
        <v>81.064464862550395</v>
      </c>
      <c r="AH174">
        <f>IFERROR(VLOOKUP(F174,[5]actual_week11_ppr_stats!$A:$B,2,FALSE),0)</f>
        <v>73.400000000000006</v>
      </c>
    </row>
    <row r="175" spans="1:34" x14ac:dyDescent="0.2">
      <c r="A175">
        <v>174</v>
      </c>
      <c r="B175">
        <v>11816</v>
      </c>
      <c r="C175" t="s">
        <v>205</v>
      </c>
      <c r="D175" t="str" cm="1">
        <f t="array" ref="D175:E175">_xlfn.TEXTSPLIT(C175, ", ")</f>
        <v>Ertz</v>
      </c>
      <c r="E175" t="str">
        <v>Zach</v>
      </c>
      <c r="F175" t="str">
        <f t="shared" si="32"/>
        <v>Zach Ertz</v>
      </c>
      <c r="G175" t="s">
        <v>71</v>
      </c>
      <c r="H175" t="s">
        <v>47</v>
      </c>
      <c r="I175">
        <v>183.82</v>
      </c>
      <c r="J175">
        <v>136</v>
      </c>
      <c r="K175">
        <v>228</v>
      </c>
      <c r="L175">
        <f>VLOOKUP(G175,byes!$A:$B,2,FALSE)</f>
        <v>12</v>
      </c>
      <c r="M175">
        <f t="shared" si="33"/>
        <v>0</v>
      </c>
      <c r="N175">
        <f t="shared" si="34"/>
        <v>0</v>
      </c>
      <c r="O175">
        <f t="shared" si="35"/>
        <v>0</v>
      </c>
      <c r="P175">
        <f t="shared" si="36"/>
        <v>0</v>
      </c>
      <c r="Q175">
        <f t="shared" si="37"/>
        <v>0</v>
      </c>
      <c r="R175">
        <f t="shared" si="38"/>
        <v>0</v>
      </c>
      <c r="S175">
        <f t="shared" si="39"/>
        <v>0</v>
      </c>
      <c r="T175">
        <f t="shared" si="40"/>
        <v>1</v>
      </c>
      <c r="U175">
        <f t="shared" si="41"/>
        <v>0</v>
      </c>
      <c r="V175">
        <f t="shared" si="42"/>
        <v>0</v>
      </c>
      <c r="W175">
        <f t="shared" si="43"/>
        <v>0</v>
      </c>
      <c r="X175">
        <f t="shared" si="44"/>
        <v>0</v>
      </c>
      <c r="Y175">
        <f t="shared" si="45"/>
        <v>1</v>
      </c>
      <c r="Z175">
        <f t="shared" si="46"/>
        <v>1</v>
      </c>
      <c r="AA175">
        <v>1</v>
      </c>
      <c r="AB175">
        <f>VLOOKUP(F175,[1]pff_ppr_projections!$B:$D,3,FALSE)</f>
        <v>130</v>
      </c>
      <c r="AC175">
        <f>VLOOKUP(F175,[2]numberFire_ppr_projections!$A:$B,2,FALSE)</f>
        <v>124.8</v>
      </c>
      <c r="AD175">
        <f>VLOOKUP(F175,[3]rotoballer_ppr_projections!$B:$G,6,FALSE)</f>
        <v>139</v>
      </c>
      <c r="AE175">
        <f>VLOOKUP(F175,[4]ppr!$B:$E,4,FALSE)</f>
        <v>122.508450786141</v>
      </c>
      <c r="AF175">
        <f>VLOOKUP(F175,[4]half_ppr!$B:$E,4,FALSE)</f>
        <v>98.383115853856438</v>
      </c>
      <c r="AG175">
        <f>VLOOKUP(F175,[4]std!$B:$E,4,FALSE)</f>
        <v>74.257780921571879</v>
      </c>
      <c r="AH175">
        <f>IFERROR(VLOOKUP(F175,[5]actual_week11_ppr_stats!$A:$B,2,FALSE),0)</f>
        <v>101.7</v>
      </c>
    </row>
    <row r="176" spans="1:34" x14ac:dyDescent="0.2">
      <c r="A176">
        <v>175</v>
      </c>
      <c r="B176">
        <v>20276</v>
      </c>
      <c r="C176" t="s">
        <v>206</v>
      </c>
      <c r="D176" t="str" cm="1">
        <f t="array" ref="D176:E176">_xlfn.TEXTSPLIT(C176, ", ")</f>
        <v>Johnston</v>
      </c>
      <c r="E176" t="str">
        <v>Quentin</v>
      </c>
      <c r="F176" t="str">
        <f t="shared" si="32"/>
        <v>Quentin Johnston</v>
      </c>
      <c r="G176" t="s">
        <v>49</v>
      </c>
      <c r="H176" t="s">
        <v>9</v>
      </c>
      <c r="I176">
        <v>184.77</v>
      </c>
      <c r="J176">
        <v>143</v>
      </c>
      <c r="K176">
        <v>239</v>
      </c>
      <c r="L176">
        <f>VLOOKUP(G176,byes!$A:$B,2,FALSE)</f>
        <v>12</v>
      </c>
      <c r="M176">
        <f t="shared" si="33"/>
        <v>0</v>
      </c>
      <c r="N176">
        <f t="shared" si="34"/>
        <v>0</v>
      </c>
      <c r="O176">
        <f t="shared" si="35"/>
        <v>0</v>
      </c>
      <c r="P176">
        <f t="shared" si="36"/>
        <v>0</v>
      </c>
      <c r="Q176">
        <f t="shared" si="37"/>
        <v>0</v>
      </c>
      <c r="R176">
        <f t="shared" si="38"/>
        <v>0</v>
      </c>
      <c r="S176">
        <f t="shared" si="39"/>
        <v>0</v>
      </c>
      <c r="T176">
        <f t="shared" si="40"/>
        <v>1</v>
      </c>
      <c r="U176">
        <f t="shared" si="41"/>
        <v>0</v>
      </c>
      <c r="V176">
        <f t="shared" si="42"/>
        <v>0</v>
      </c>
      <c r="W176">
        <f t="shared" si="43"/>
        <v>0</v>
      </c>
      <c r="X176">
        <f t="shared" si="44"/>
        <v>1</v>
      </c>
      <c r="Y176">
        <f t="shared" si="45"/>
        <v>0</v>
      </c>
      <c r="Z176">
        <f t="shared" si="46"/>
        <v>1</v>
      </c>
      <c r="AA176">
        <v>1</v>
      </c>
      <c r="AB176">
        <f>VLOOKUP(F176,[1]pff_ppr_projections!$B:$D,3,FALSE)</f>
        <v>174.6</v>
      </c>
      <c r="AC176">
        <f>VLOOKUP(F176,[2]numberFire_ppr_projections!$A:$B,2,FALSE)</f>
        <v>130.80000000000001</v>
      </c>
      <c r="AD176">
        <f>VLOOKUP(F176,[3]rotoballer_ppr_projections!$B:$G,6,FALSE)</f>
        <v>105</v>
      </c>
      <c r="AE176">
        <f>VLOOKUP(F176,[4]ppr!$B:$E,4,FALSE)</f>
        <v>113.9895986788944</v>
      </c>
      <c r="AF176">
        <f>VLOOKUP(F176,[4]half_ppr!$B:$E,4,FALSE)</f>
        <v>93.495244367694397</v>
      </c>
      <c r="AG176">
        <f>VLOOKUP(F176,[4]std!$B:$E,4,FALSE)</f>
        <v>73.000890056494399</v>
      </c>
      <c r="AH176">
        <f>IFERROR(VLOOKUP(F176,[5]actual_week11_ppr_stats!$A:$B,2,FALSE),0)</f>
        <v>123.9</v>
      </c>
    </row>
    <row r="177" spans="1:34" x14ac:dyDescent="0.2">
      <c r="A177">
        <v>176</v>
      </c>
      <c r="B177">
        <v>22115</v>
      </c>
      <c r="C177" t="s">
        <v>207</v>
      </c>
      <c r="D177" t="str" cm="1">
        <f t="array" ref="D177:E177">_xlfn.TEXTSPLIT(C177, ", ")</f>
        <v>Bryant</v>
      </c>
      <c r="E177" t="str">
        <v>Pat</v>
      </c>
      <c r="F177" t="str">
        <f t="shared" si="32"/>
        <v>Pat Bryant</v>
      </c>
      <c r="G177" t="s">
        <v>79</v>
      </c>
      <c r="H177" t="s">
        <v>9</v>
      </c>
      <c r="I177">
        <v>187.47</v>
      </c>
      <c r="J177">
        <v>126</v>
      </c>
      <c r="K177">
        <v>240</v>
      </c>
      <c r="L177">
        <f>VLOOKUP(G177,byes!$A:$B,2,FALSE)</f>
        <v>12</v>
      </c>
      <c r="M177">
        <f t="shared" si="33"/>
        <v>0</v>
      </c>
      <c r="N177">
        <f t="shared" si="34"/>
        <v>0</v>
      </c>
      <c r="O177">
        <f t="shared" si="35"/>
        <v>0</v>
      </c>
      <c r="P177">
        <f t="shared" si="36"/>
        <v>0</v>
      </c>
      <c r="Q177">
        <f t="shared" si="37"/>
        <v>0</v>
      </c>
      <c r="R177">
        <f t="shared" si="38"/>
        <v>0</v>
      </c>
      <c r="S177">
        <f t="shared" si="39"/>
        <v>0</v>
      </c>
      <c r="T177">
        <f t="shared" si="40"/>
        <v>1</v>
      </c>
      <c r="U177">
        <f t="shared" si="41"/>
        <v>0</v>
      </c>
      <c r="V177">
        <f t="shared" si="42"/>
        <v>0</v>
      </c>
      <c r="W177">
        <f t="shared" si="43"/>
        <v>0</v>
      </c>
      <c r="X177">
        <f t="shared" si="44"/>
        <v>1</v>
      </c>
      <c r="Y177">
        <f t="shared" si="45"/>
        <v>0</v>
      </c>
      <c r="Z177">
        <f t="shared" si="46"/>
        <v>1</v>
      </c>
      <c r="AA177">
        <f t="shared" si="47"/>
        <v>1</v>
      </c>
      <c r="AB177">
        <f>VLOOKUP(F177,[1]pff_ppr_projections!$B:$D,3,FALSE)</f>
        <v>78.099999999999994</v>
      </c>
      <c r="AC177" s="1">
        <f>AVERAGE(AB177,AD177,AE177)</f>
        <v>72.933883017226663</v>
      </c>
      <c r="AD177">
        <f>VLOOKUP(F177,[3]rotoballer_ppr_projections!$B:$G,6,FALSE)</f>
        <v>80</v>
      </c>
      <c r="AE177">
        <f>VLOOKUP(F177,[4]ppr!$B:$E,4,FALSE)</f>
        <v>60.70164905168</v>
      </c>
      <c r="AF177">
        <f>VLOOKUP(F177,[4]half_ppr!$B:$E,4,FALSE)</f>
        <v>48.969594731680004</v>
      </c>
      <c r="AG177">
        <f>VLOOKUP(F177,[4]std!$B:$E,4,FALSE)</f>
        <v>37.237540411680001</v>
      </c>
      <c r="AH177">
        <f>IFERROR(VLOOKUP(F177,[5]actual_week11_ppr_stats!$A:$B,2,FALSE),0)</f>
        <v>44.1</v>
      </c>
    </row>
    <row r="178" spans="1:34" x14ac:dyDescent="0.2">
      <c r="A178">
        <v>177</v>
      </c>
      <c r="B178">
        <v>20304</v>
      </c>
      <c r="C178" t="s">
        <v>208</v>
      </c>
      <c r="D178" t="str" cm="1">
        <f t="array" ref="D178:E178">_xlfn.TEXTSPLIT(C178, ", ")</f>
        <v>Miller</v>
      </c>
      <c r="E178" t="str">
        <v>Kendre</v>
      </c>
      <c r="F178" t="str">
        <f t="shared" si="32"/>
        <v>Kendre Miller</v>
      </c>
      <c r="G178" t="s">
        <v>84</v>
      </c>
      <c r="H178" t="s">
        <v>12</v>
      </c>
      <c r="I178">
        <v>187.52</v>
      </c>
      <c r="J178">
        <v>136</v>
      </c>
      <c r="K178">
        <v>238</v>
      </c>
      <c r="L178">
        <f>VLOOKUP(G178,byes!$A:$B,2,FALSE)</f>
        <v>11</v>
      </c>
      <c r="M178">
        <f t="shared" si="33"/>
        <v>0</v>
      </c>
      <c r="N178">
        <f t="shared" si="34"/>
        <v>0</v>
      </c>
      <c r="O178">
        <f t="shared" si="35"/>
        <v>0</v>
      </c>
      <c r="P178">
        <f t="shared" si="36"/>
        <v>0</v>
      </c>
      <c r="Q178">
        <f t="shared" si="37"/>
        <v>0</v>
      </c>
      <c r="R178">
        <f t="shared" si="38"/>
        <v>0</v>
      </c>
      <c r="S178">
        <f t="shared" si="39"/>
        <v>1</v>
      </c>
      <c r="T178">
        <f t="shared" si="40"/>
        <v>0</v>
      </c>
      <c r="U178">
        <f t="shared" si="41"/>
        <v>0</v>
      </c>
      <c r="V178">
        <f t="shared" si="42"/>
        <v>0</v>
      </c>
      <c r="W178">
        <f t="shared" si="43"/>
        <v>1</v>
      </c>
      <c r="X178">
        <f t="shared" si="44"/>
        <v>0</v>
      </c>
      <c r="Y178">
        <f t="shared" si="45"/>
        <v>0</v>
      </c>
      <c r="Z178">
        <f t="shared" si="46"/>
        <v>1</v>
      </c>
      <c r="AA178">
        <v>1</v>
      </c>
      <c r="AB178">
        <f>VLOOKUP(F178,[1]pff_ppr_projections!$B:$D,3,FALSE)</f>
        <v>125.9</v>
      </c>
      <c r="AC178" s="1">
        <f>AVERAGE(AB178,AD178,AE178)</f>
        <v>99.169687904300005</v>
      </c>
      <c r="AD178">
        <f>VLOOKUP(F178,[3]rotoballer_ppr_projections!$B:$G,6,FALSE)</f>
        <v>79</v>
      </c>
      <c r="AE178">
        <f>VLOOKUP(F178,[4]ppr!$B:$E,4,FALSE)</f>
        <v>92.60906371290001</v>
      </c>
      <c r="AF178">
        <f>VLOOKUP(F178,[4]half_ppr!$B:$E,4,FALSE)</f>
        <v>89.182644495700004</v>
      </c>
      <c r="AG178">
        <f>VLOOKUP(F178,[4]std!$B:$E,4,FALSE)</f>
        <v>85.756225278500011</v>
      </c>
      <c r="AH178">
        <f>IFERROR(VLOOKUP(F178,[5]actual_week11_ppr_stats!$A:$B,2,FALSE),0)</f>
        <v>33.299999999999997</v>
      </c>
    </row>
    <row r="179" spans="1:34" x14ac:dyDescent="0.2">
      <c r="A179">
        <v>178</v>
      </c>
      <c r="B179">
        <v>13532</v>
      </c>
      <c r="C179" t="s">
        <v>209</v>
      </c>
      <c r="D179" t="str" cm="1">
        <f t="array" ref="D179:E179">_xlfn.TEXTSPLIT(C179, ", ")</f>
        <v>Cooper</v>
      </c>
      <c r="E179" t="str">
        <v>Amari</v>
      </c>
      <c r="F179" t="str">
        <f t="shared" si="32"/>
        <v>Amari Cooper</v>
      </c>
      <c r="G179" t="s">
        <v>30</v>
      </c>
      <c r="H179" t="s">
        <v>9</v>
      </c>
      <c r="I179">
        <v>188.61</v>
      </c>
      <c r="J179">
        <v>137</v>
      </c>
      <c r="K179">
        <v>235</v>
      </c>
      <c r="L179">
        <f>VLOOKUP(G179,byes!$A:$B,2,FALSE)</f>
        <v>8</v>
      </c>
      <c r="M179">
        <f t="shared" si="33"/>
        <v>0</v>
      </c>
      <c r="N179">
        <f t="shared" si="34"/>
        <v>0</v>
      </c>
      <c r="O179">
        <f t="shared" si="35"/>
        <v>0</v>
      </c>
      <c r="P179">
        <f t="shared" si="36"/>
        <v>1</v>
      </c>
      <c r="Q179">
        <f t="shared" si="37"/>
        <v>0</v>
      </c>
      <c r="R179">
        <f t="shared" si="38"/>
        <v>0</v>
      </c>
      <c r="S179">
        <f t="shared" si="39"/>
        <v>0</v>
      </c>
      <c r="T179">
        <f t="shared" si="40"/>
        <v>0</v>
      </c>
      <c r="U179">
        <f t="shared" si="41"/>
        <v>0</v>
      </c>
      <c r="V179">
        <f t="shared" si="42"/>
        <v>0</v>
      </c>
      <c r="W179">
        <f t="shared" si="43"/>
        <v>0</v>
      </c>
      <c r="X179">
        <f t="shared" si="44"/>
        <v>1</v>
      </c>
      <c r="Y179">
        <f t="shared" si="45"/>
        <v>0</v>
      </c>
      <c r="Z179">
        <f t="shared" si="46"/>
        <v>1</v>
      </c>
      <c r="AA179">
        <v>1</v>
      </c>
      <c r="AB179" s="1">
        <f>AVERAGE(AD179,AE179)</f>
        <v>122.65525851100639</v>
      </c>
      <c r="AC179" s="1">
        <f>AVERAGE(AD179,AE179)</f>
        <v>122.65525851100639</v>
      </c>
      <c r="AD179">
        <f>VLOOKUP(F179,[3]rotoballer_ppr_projections!$B:$G,6,FALSE)</f>
        <v>97</v>
      </c>
      <c r="AE179">
        <f>VLOOKUP(F179,[4]ppr!$B:$E,4,FALSE)</f>
        <v>148.31051702201279</v>
      </c>
      <c r="AF179">
        <f>VLOOKUP(F179,[4]half_ppr!$B:$E,4,FALSE)</f>
        <v>119.2982875576128</v>
      </c>
      <c r="AG179">
        <f>VLOOKUP(F179,[4]std!$B:$E,4,FALSE)</f>
        <v>90.286058093212802</v>
      </c>
      <c r="AH179">
        <f>IFERROR(VLOOKUP(F179,[5]actual_week11_ppr_stats!$A:$B,2,FALSE),0)</f>
        <v>0</v>
      </c>
    </row>
    <row r="180" spans="1:34" x14ac:dyDescent="0.2">
      <c r="A180">
        <v>179</v>
      </c>
      <c r="B180">
        <v>21178</v>
      </c>
      <c r="C180" t="s">
        <v>210</v>
      </c>
      <c r="D180" t="str" cm="1">
        <f t="array" ref="D180:E180">_xlfn.TEXTSPLIT(C180, ", ")</f>
        <v>Guerendo</v>
      </c>
      <c r="E180" t="str">
        <v>Isaac</v>
      </c>
      <c r="F180" t="str">
        <f t="shared" si="32"/>
        <v>Isaac Guerendo</v>
      </c>
      <c r="G180" t="s">
        <v>22</v>
      </c>
      <c r="H180" t="s">
        <v>12</v>
      </c>
      <c r="I180">
        <v>188.89</v>
      </c>
      <c r="J180">
        <v>139</v>
      </c>
      <c r="K180">
        <v>237</v>
      </c>
      <c r="L180">
        <f>VLOOKUP(G180,byes!$A:$B,2,FALSE)</f>
        <v>14</v>
      </c>
      <c r="M180">
        <f t="shared" si="33"/>
        <v>0</v>
      </c>
      <c r="N180">
        <f t="shared" si="34"/>
        <v>0</v>
      </c>
      <c r="O180">
        <f t="shared" si="35"/>
        <v>0</v>
      </c>
      <c r="P180">
        <f t="shared" si="36"/>
        <v>0</v>
      </c>
      <c r="Q180">
        <f t="shared" si="37"/>
        <v>0</v>
      </c>
      <c r="R180">
        <f t="shared" si="38"/>
        <v>0</v>
      </c>
      <c r="S180">
        <f t="shared" si="39"/>
        <v>0</v>
      </c>
      <c r="T180">
        <f t="shared" si="40"/>
        <v>0</v>
      </c>
      <c r="U180">
        <f t="shared" si="41"/>
        <v>1</v>
      </c>
      <c r="V180">
        <f t="shared" si="42"/>
        <v>0</v>
      </c>
      <c r="W180">
        <f t="shared" si="43"/>
        <v>1</v>
      </c>
      <c r="X180">
        <f t="shared" si="44"/>
        <v>0</v>
      </c>
      <c r="Y180">
        <f t="shared" si="45"/>
        <v>0</v>
      </c>
      <c r="Z180">
        <f t="shared" si="46"/>
        <v>1</v>
      </c>
      <c r="AA180">
        <v>1</v>
      </c>
      <c r="AB180">
        <f>VLOOKUP(F180,[1]pff_ppr_projections!$B:$D,3,FALSE)</f>
        <v>110.3</v>
      </c>
      <c r="AC180" s="1">
        <f>AVERAGE(AB180,AD180,AE180)</f>
        <v>63.711366344859186</v>
      </c>
      <c r="AD180">
        <f>VLOOKUP(F180,[3]rotoballer_ppr_projections!$B:$G,6,FALSE)</f>
        <v>42</v>
      </c>
      <c r="AE180">
        <f>VLOOKUP(F180,[4]ppr!$B:$E,4,FALSE)</f>
        <v>38.834099034577541</v>
      </c>
      <c r="AF180">
        <f>VLOOKUP(F180,[4]half_ppr!$B:$E,4,FALSE)</f>
        <v>36.952066090177546</v>
      </c>
      <c r="AG180">
        <f>VLOOKUP(F180,[4]std!$B:$E,4,FALSE)</f>
        <v>35.070033145777543</v>
      </c>
      <c r="AH180">
        <f>IFERROR(VLOOKUP(F180,[5]actual_week11_ppr_stats!$A:$B,2,FALSE),0)</f>
        <v>0</v>
      </c>
    </row>
    <row r="181" spans="1:34" x14ac:dyDescent="0.2">
      <c r="A181">
        <v>180</v>
      </c>
      <c r="B181">
        <v>22119</v>
      </c>
      <c r="C181" t="s">
        <v>211</v>
      </c>
      <c r="D181" t="str" cm="1">
        <f t="array" ref="D181:E181">_xlfn.TEXTSPLIT(C181, ", ")</f>
        <v>Monangai</v>
      </c>
      <c r="E181" t="str">
        <v>Kyle</v>
      </c>
      <c r="F181" t="str">
        <f t="shared" si="32"/>
        <v>Kyle Monangai</v>
      </c>
      <c r="G181" t="s">
        <v>86</v>
      </c>
      <c r="H181" t="s">
        <v>12</v>
      </c>
      <c r="I181">
        <v>189.21</v>
      </c>
      <c r="J181">
        <v>129</v>
      </c>
      <c r="K181">
        <v>238</v>
      </c>
      <c r="L181">
        <f>VLOOKUP(G181,byes!$A:$B,2,FALSE)</f>
        <v>5</v>
      </c>
      <c r="M181">
        <f t="shared" si="33"/>
        <v>1</v>
      </c>
      <c r="N181">
        <f t="shared" si="34"/>
        <v>0</v>
      </c>
      <c r="O181">
        <f t="shared" si="35"/>
        <v>0</v>
      </c>
      <c r="P181">
        <f t="shared" si="36"/>
        <v>0</v>
      </c>
      <c r="Q181">
        <f t="shared" si="37"/>
        <v>0</v>
      </c>
      <c r="R181">
        <f t="shared" si="38"/>
        <v>0</v>
      </c>
      <c r="S181">
        <f t="shared" si="39"/>
        <v>0</v>
      </c>
      <c r="T181">
        <f t="shared" si="40"/>
        <v>0</v>
      </c>
      <c r="U181">
        <f t="shared" si="41"/>
        <v>0</v>
      </c>
      <c r="V181">
        <f t="shared" si="42"/>
        <v>0</v>
      </c>
      <c r="W181">
        <f t="shared" si="43"/>
        <v>1</v>
      </c>
      <c r="X181">
        <f t="shared" si="44"/>
        <v>0</v>
      </c>
      <c r="Y181">
        <f t="shared" si="45"/>
        <v>0</v>
      </c>
      <c r="Z181">
        <f t="shared" si="46"/>
        <v>1</v>
      </c>
      <c r="AA181">
        <f t="shared" si="47"/>
        <v>1</v>
      </c>
      <c r="AB181">
        <f>VLOOKUP(F181,[1]pff_ppr_projections!$B:$D,3,FALSE)</f>
        <v>17.5</v>
      </c>
      <c r="AC181" s="1">
        <f t="shared" ref="AC181:AC183" si="50">AVERAGE(AB181,AD181,AE181)</f>
        <v>47.627455737029244</v>
      </c>
      <c r="AD181">
        <f>VLOOKUP(F181,[3]rotoballer_ppr_projections!$B:$G,6,FALSE)</f>
        <v>49</v>
      </c>
      <c r="AE181">
        <f>VLOOKUP(F181,[4]ppr!$B:$E,4,FALSE)</f>
        <v>76.382367211087754</v>
      </c>
      <c r="AF181">
        <f>VLOOKUP(F181,[4]half_ppr!$B:$E,4,FALSE)</f>
        <v>73.399027847887751</v>
      </c>
      <c r="AG181">
        <f>VLOOKUP(F181,[4]std!$B:$E,4,FALSE)</f>
        <v>70.415688484687749</v>
      </c>
      <c r="AH181">
        <f>IFERROR(VLOOKUP(F181,[5]actual_week11_ppr_stats!$A:$B,2,FALSE),0)</f>
        <v>79</v>
      </c>
    </row>
    <row r="182" spans="1:34" x14ac:dyDescent="0.2">
      <c r="A182">
        <v>181</v>
      </c>
      <c r="B182">
        <v>19633</v>
      </c>
      <c r="C182" t="s">
        <v>263</v>
      </c>
      <c r="D182" t="str" cm="1">
        <f t="array" ref="D182:E182">_xlfn.TEXTSPLIT(C182, ", ")</f>
        <v>Okonkwo</v>
      </c>
      <c r="E182" t="str">
        <v>Chigoziem</v>
      </c>
      <c r="F182" t="str">
        <f>_xlfn.REGEXREPLACE(E182 &amp; " " &amp; D182, "\.", "")</f>
        <v>Chigoziem Okonkwo</v>
      </c>
      <c r="G182" t="s">
        <v>89</v>
      </c>
      <c r="H182" t="s">
        <v>47</v>
      </c>
      <c r="I182">
        <v>191.33</v>
      </c>
      <c r="J182">
        <v>145</v>
      </c>
      <c r="K182">
        <v>237</v>
      </c>
      <c r="L182">
        <f>VLOOKUP(G182,byes!$A:$B,2,FALSE)</f>
        <v>10</v>
      </c>
      <c r="M182">
        <f t="shared" si="33"/>
        <v>0</v>
      </c>
      <c r="N182">
        <f t="shared" si="34"/>
        <v>0</v>
      </c>
      <c r="O182">
        <f t="shared" si="35"/>
        <v>0</v>
      </c>
      <c r="P182">
        <f t="shared" si="36"/>
        <v>0</v>
      </c>
      <c r="Q182">
        <f t="shared" si="37"/>
        <v>0</v>
      </c>
      <c r="R182">
        <f t="shared" si="38"/>
        <v>1</v>
      </c>
      <c r="S182">
        <f t="shared" si="39"/>
        <v>0</v>
      </c>
      <c r="T182">
        <f t="shared" si="40"/>
        <v>0</v>
      </c>
      <c r="U182">
        <f t="shared" si="41"/>
        <v>0</v>
      </c>
      <c r="V182">
        <f t="shared" si="42"/>
        <v>0</v>
      </c>
      <c r="W182">
        <f t="shared" si="43"/>
        <v>0</v>
      </c>
      <c r="X182">
        <f t="shared" si="44"/>
        <v>0</v>
      </c>
      <c r="Y182">
        <f t="shared" si="45"/>
        <v>1</v>
      </c>
      <c r="Z182">
        <f t="shared" si="46"/>
        <v>1</v>
      </c>
      <c r="AA182">
        <v>1</v>
      </c>
      <c r="AB182">
        <f>VLOOKUP(F182,[1]pff_ppr_projections!$B:$D,3,FALSE)</f>
        <v>136.80000000000001</v>
      </c>
      <c r="AC182" s="1">
        <f t="shared" si="50"/>
        <v>124.20269557495253</v>
      </c>
      <c r="AD182">
        <f>VLOOKUP(F182,[3]rotoballer_ppr_projections!$B:$G,6,FALSE)</f>
        <v>124</v>
      </c>
      <c r="AE182">
        <f>VLOOKUP(F182,[4]ppr!$B:$E,4,FALSE)</f>
        <v>111.80808672485757</v>
      </c>
      <c r="AF182">
        <f>VLOOKUP(F182,[4]half_ppr!$B:$E,4,FALSE)</f>
        <v>88.85897204405758</v>
      </c>
      <c r="AG182">
        <f>VLOOKUP(F182,[4]std!$B:$E,4,FALSE)</f>
        <v>65.909857363257586</v>
      </c>
      <c r="AH182">
        <f>IFERROR(VLOOKUP(F182,[5]actual_week11_ppr_stats!$A:$B,2,FALSE),0)</f>
        <v>65.7</v>
      </c>
    </row>
    <row r="183" spans="1:34" x14ac:dyDescent="0.2">
      <c r="A183">
        <v>182</v>
      </c>
      <c r="B183">
        <v>15319</v>
      </c>
      <c r="C183" t="s">
        <v>212</v>
      </c>
      <c r="D183" t="str" cm="1">
        <f t="array" ref="D183:E183">_xlfn.TEXTSPLIT(C183, ", ")</f>
        <v>Smith</v>
      </c>
      <c r="E183" t="str">
        <v>Jonnu</v>
      </c>
      <c r="F183" t="str">
        <f t="shared" si="32"/>
        <v>Jonnu Smith</v>
      </c>
      <c r="G183" t="s">
        <v>82</v>
      </c>
      <c r="H183" t="s">
        <v>47</v>
      </c>
      <c r="I183">
        <v>194.13</v>
      </c>
      <c r="J183">
        <v>134</v>
      </c>
      <c r="K183">
        <v>239</v>
      </c>
      <c r="L183">
        <f>VLOOKUP(G183,byes!$A:$B,2,FALSE)</f>
        <v>5</v>
      </c>
      <c r="M183">
        <f t="shared" si="33"/>
        <v>1</v>
      </c>
      <c r="N183">
        <f t="shared" si="34"/>
        <v>0</v>
      </c>
      <c r="O183">
        <f t="shared" si="35"/>
        <v>0</v>
      </c>
      <c r="P183">
        <f t="shared" si="36"/>
        <v>0</v>
      </c>
      <c r="Q183">
        <f t="shared" si="37"/>
        <v>0</v>
      </c>
      <c r="R183">
        <f t="shared" si="38"/>
        <v>0</v>
      </c>
      <c r="S183">
        <f t="shared" si="39"/>
        <v>0</v>
      </c>
      <c r="T183">
        <f t="shared" si="40"/>
        <v>0</v>
      </c>
      <c r="U183">
        <f t="shared" si="41"/>
        <v>0</v>
      </c>
      <c r="V183">
        <f t="shared" si="42"/>
        <v>0</v>
      </c>
      <c r="W183">
        <f t="shared" si="43"/>
        <v>0</v>
      </c>
      <c r="X183">
        <f t="shared" si="44"/>
        <v>0</v>
      </c>
      <c r="Y183">
        <f t="shared" si="45"/>
        <v>1</v>
      </c>
      <c r="Z183">
        <f t="shared" si="46"/>
        <v>1</v>
      </c>
      <c r="AA183">
        <v>1</v>
      </c>
      <c r="AB183">
        <f>VLOOKUP(F183,[1]pff_ppr_projections!$B:$D,3,FALSE)</f>
        <v>179.8</v>
      </c>
      <c r="AC183" s="1">
        <f t="shared" si="50"/>
        <v>142.41105820553335</v>
      </c>
      <c r="AD183">
        <f>VLOOKUP(F183,[3]rotoballer_ppr_projections!$B:$G,6,FALSE)</f>
        <v>126</v>
      </c>
      <c r="AE183">
        <f>VLOOKUP(F183,[4]ppr!$B:$E,4,FALSE)</f>
        <v>121.43317461660001</v>
      </c>
      <c r="AF183">
        <f>VLOOKUP(F183,[4]half_ppr!$B:$E,4,FALSE)</f>
        <v>98.258904651600005</v>
      </c>
      <c r="AG183">
        <f>VLOOKUP(F183,[4]std!$B:$E,4,FALSE)</f>
        <v>75.084634686599998</v>
      </c>
      <c r="AH183">
        <f>IFERROR(VLOOKUP(F183,[5]actual_week11_ppr_stats!$A:$B,2,FALSE),0)</f>
        <v>55.3</v>
      </c>
    </row>
    <row r="184" spans="1:34" x14ac:dyDescent="0.2">
      <c r="A184">
        <v>183</v>
      </c>
      <c r="B184">
        <v>15281</v>
      </c>
      <c r="C184" t="s">
        <v>213</v>
      </c>
      <c r="D184" t="str" cm="1">
        <f t="array" ref="D184:E184">_xlfn.TEXTSPLIT(C184, ", ")</f>
        <v>Hunt</v>
      </c>
      <c r="E184" t="str">
        <v>Kareem</v>
      </c>
      <c r="F184" t="str">
        <f t="shared" si="32"/>
        <v>Kareem Hunt</v>
      </c>
      <c r="G184" t="s">
        <v>75</v>
      </c>
      <c r="H184" t="s">
        <v>12</v>
      </c>
      <c r="I184">
        <v>194.38</v>
      </c>
      <c r="J184">
        <v>148</v>
      </c>
      <c r="K184">
        <v>236</v>
      </c>
      <c r="L184">
        <f>VLOOKUP(G184,byes!$A:$B,2,FALSE)</f>
        <v>10</v>
      </c>
      <c r="M184">
        <f t="shared" si="33"/>
        <v>0</v>
      </c>
      <c r="N184">
        <f t="shared" si="34"/>
        <v>0</v>
      </c>
      <c r="O184">
        <f t="shared" si="35"/>
        <v>0</v>
      </c>
      <c r="P184">
        <f t="shared" si="36"/>
        <v>0</v>
      </c>
      <c r="Q184">
        <f t="shared" si="37"/>
        <v>0</v>
      </c>
      <c r="R184">
        <f t="shared" si="38"/>
        <v>1</v>
      </c>
      <c r="S184">
        <f t="shared" si="39"/>
        <v>0</v>
      </c>
      <c r="T184">
        <f t="shared" si="40"/>
        <v>0</v>
      </c>
      <c r="U184">
        <f t="shared" si="41"/>
        <v>0</v>
      </c>
      <c r="V184">
        <f t="shared" si="42"/>
        <v>0</v>
      </c>
      <c r="W184">
        <f t="shared" si="43"/>
        <v>1</v>
      </c>
      <c r="X184">
        <f t="shared" si="44"/>
        <v>0</v>
      </c>
      <c r="Y184">
        <f t="shared" si="45"/>
        <v>0</v>
      </c>
      <c r="Z184">
        <f t="shared" si="46"/>
        <v>1</v>
      </c>
      <c r="AA184">
        <v>1</v>
      </c>
      <c r="AB184">
        <f>VLOOKUP(F184,[1]pff_ppr_projections!$B:$D,3,FALSE)</f>
        <v>76.599999999999994</v>
      </c>
      <c r="AC184">
        <f>VLOOKUP(F184,[2]numberFire_ppr_projections!$A:$B,2,FALSE)</f>
        <v>93.9</v>
      </c>
      <c r="AD184">
        <f>VLOOKUP(F184,[3]rotoballer_ppr_projections!$B:$G,6,FALSE)</f>
        <v>92</v>
      </c>
      <c r="AE184">
        <f>VLOOKUP(F184,[4]ppr!$B:$E,4,FALSE)</f>
        <v>56.673630205258505</v>
      </c>
      <c r="AF184">
        <f>VLOOKUP(F184,[4]half_ppr!$B:$E,4,FALSE)</f>
        <v>52.248273960508506</v>
      </c>
      <c r="AG184">
        <f>VLOOKUP(F184,[4]std!$B:$E,4,FALSE)</f>
        <v>47.822917715758507</v>
      </c>
      <c r="AH184">
        <f>IFERROR(VLOOKUP(F184,[5]actual_week11_ppr_stats!$A:$B,2,FALSE),0)</f>
        <v>93.9</v>
      </c>
    </row>
    <row r="185" spans="1:34" x14ac:dyDescent="0.2">
      <c r="A185">
        <v>184</v>
      </c>
      <c r="B185">
        <v>22117</v>
      </c>
      <c r="C185" t="s">
        <v>214</v>
      </c>
      <c r="D185" t="str" cm="1">
        <f t="array" ref="D185:E185">_xlfn.TEXTSPLIT(C185, ", ")</f>
        <v>Smith</v>
      </c>
      <c r="E185" t="str">
        <v>Brashard</v>
      </c>
      <c r="F185" t="str">
        <f t="shared" si="32"/>
        <v>Brashard Smith</v>
      </c>
      <c r="G185" t="s">
        <v>75</v>
      </c>
      <c r="H185" t="s">
        <v>12</v>
      </c>
      <c r="I185">
        <v>196.8</v>
      </c>
      <c r="J185">
        <v>157</v>
      </c>
      <c r="K185">
        <v>234</v>
      </c>
      <c r="L185">
        <f>VLOOKUP(G185,byes!$A:$B,2,FALSE)</f>
        <v>10</v>
      </c>
      <c r="M185">
        <f t="shared" si="33"/>
        <v>0</v>
      </c>
      <c r="N185">
        <f t="shared" si="34"/>
        <v>0</v>
      </c>
      <c r="O185">
        <f t="shared" si="35"/>
        <v>0</v>
      </c>
      <c r="P185">
        <f t="shared" si="36"/>
        <v>0</v>
      </c>
      <c r="Q185">
        <f t="shared" si="37"/>
        <v>0</v>
      </c>
      <c r="R185">
        <f t="shared" si="38"/>
        <v>1</v>
      </c>
      <c r="S185">
        <f t="shared" si="39"/>
        <v>0</v>
      </c>
      <c r="T185">
        <f t="shared" si="40"/>
        <v>0</v>
      </c>
      <c r="U185">
        <f t="shared" si="41"/>
        <v>0</v>
      </c>
      <c r="V185">
        <f t="shared" si="42"/>
        <v>0</v>
      </c>
      <c r="W185">
        <f t="shared" si="43"/>
        <v>1</v>
      </c>
      <c r="X185">
        <f t="shared" si="44"/>
        <v>0</v>
      </c>
      <c r="Y185">
        <f t="shared" si="45"/>
        <v>0</v>
      </c>
      <c r="Z185">
        <f t="shared" si="46"/>
        <v>1</v>
      </c>
      <c r="AA185">
        <f t="shared" si="47"/>
        <v>1</v>
      </c>
      <c r="AB185">
        <f>VLOOKUP(F185,[1]pff_ppr_projections!$B:$D,3,FALSE)</f>
        <v>7.2</v>
      </c>
      <c r="AC185" s="1">
        <f>AVERAGE(AB185,AD185,AE185)</f>
        <v>49.596066572013321</v>
      </c>
      <c r="AD185">
        <f>VLOOKUP(F185,[3]rotoballer_ppr_projections!$B:$G,6,FALSE)</f>
        <v>35</v>
      </c>
      <c r="AE185">
        <f>VLOOKUP(F185,[4]ppr!$B:$E,4,FALSE)</f>
        <v>106.58819971603998</v>
      </c>
      <c r="AF185">
        <f>VLOOKUP(F185,[4]half_ppr!$B:$E,4,FALSE)</f>
        <v>88.172712045039987</v>
      </c>
      <c r="AG185">
        <f>VLOOKUP(F185,[4]std!$B:$E,4,FALSE)</f>
        <v>69.757224374039993</v>
      </c>
      <c r="AH185">
        <f>IFERROR(VLOOKUP(F185,[5]actual_week11_ppr_stats!$A:$B,2,FALSE),0)</f>
        <v>37.200000000000003</v>
      </c>
    </row>
    <row r="186" spans="1:34" x14ac:dyDescent="0.2">
      <c r="A186">
        <v>185</v>
      </c>
      <c r="B186">
        <v>20298</v>
      </c>
      <c r="C186" t="s">
        <v>264</v>
      </c>
      <c r="D186" t="str" cm="1">
        <f t="array" ref="D186:E186">_xlfn.TEXTSPLIT(C186, ", ")</f>
        <v>Penix Jr</v>
      </c>
      <c r="E186" t="str">
        <v>Michael</v>
      </c>
      <c r="F186" t="str">
        <f t="shared" ref="F186:F204" si="51">_xlfn.REGEXREPLACE(E186 &amp; " " &amp; D186, "\.", "")</f>
        <v>Michael Penix Jr</v>
      </c>
      <c r="G186" t="s">
        <v>11</v>
      </c>
      <c r="H186" t="s">
        <v>57</v>
      </c>
      <c r="I186">
        <v>196.83</v>
      </c>
      <c r="J186">
        <v>147</v>
      </c>
      <c r="K186">
        <v>240</v>
      </c>
      <c r="L186">
        <f>VLOOKUP(G186,byes!$A:$B,2,FALSE)</f>
        <v>5</v>
      </c>
      <c r="M186">
        <f t="shared" ref="M186:M204" si="52">IF(L186=5,1,0)</f>
        <v>1</v>
      </c>
      <c r="N186">
        <f t="shared" ref="N186:N204" si="53">IF(L186=6,1,0)</f>
        <v>0</v>
      </c>
      <c r="O186">
        <f t="shared" ref="O186:O204" si="54">IF(L186=7,1,0)</f>
        <v>0</v>
      </c>
      <c r="P186">
        <f t="shared" ref="P186:P204" si="55">IF(L186=8,1,0)</f>
        <v>0</v>
      </c>
      <c r="Q186">
        <f t="shared" ref="Q186:Q204" si="56">IF(L186=9,1,0)</f>
        <v>0</v>
      </c>
      <c r="R186">
        <f t="shared" ref="R186:R204" si="57">IF(L186=10,1,0)</f>
        <v>0</v>
      </c>
      <c r="S186">
        <f t="shared" ref="S186:S204" si="58">IF(L186=11,1,0)</f>
        <v>0</v>
      </c>
      <c r="T186">
        <f t="shared" ref="T186:T204" si="59">IF(L186=12,1,0)</f>
        <v>0</v>
      </c>
      <c r="U186">
        <f t="shared" ref="U186:U204" si="60">IF(L186=14,1,0)</f>
        <v>0</v>
      </c>
      <c r="V186">
        <f t="shared" ref="V186:V204" si="61">IF(H186="QB", 1, 0)</f>
        <v>1</v>
      </c>
      <c r="W186">
        <f t="shared" ref="W186:W204" si="62">IF(H186="RB",1,0)</f>
        <v>0</v>
      </c>
      <c r="X186">
        <f t="shared" ref="X186:X204" si="63">IF(H186="WR",1,0)</f>
        <v>0</v>
      </c>
      <c r="Y186">
        <f t="shared" ref="Y186:Y204" si="64">IF(H186="TE",1,0)</f>
        <v>0</v>
      </c>
      <c r="Z186">
        <f t="shared" ref="Z186:Z204" si="65">IF(OR(H186="RB",H186="WR",H186="TE"),1,0)</f>
        <v>0</v>
      </c>
      <c r="AA186">
        <v>1</v>
      </c>
      <c r="AB186">
        <f>VLOOKUP(F186,[1]pff_ppr_projections!$B:$D,3,FALSE)</f>
        <v>234.7</v>
      </c>
      <c r="AC186" s="1">
        <f>AVERAGE(AB186,AD186,AE186)</f>
        <v>254.52718916849366</v>
      </c>
      <c r="AD186">
        <f>VLOOKUP(F186,[3]rotoballer_ppr_projections!$B:$G,6,FALSE)</f>
        <v>258</v>
      </c>
      <c r="AE186">
        <f>VLOOKUP(F186,[4]ppr!$B:$E,4,FALSE)</f>
        <v>270.88156750548097</v>
      </c>
      <c r="AF186">
        <f>VLOOKUP(F186,[4]half_ppr!$B:$E,4,FALSE)</f>
        <v>270.88156750548097</v>
      </c>
      <c r="AG186">
        <f>VLOOKUP(F186,[4]std!$B:$E,4,FALSE)</f>
        <v>270.88156750548097</v>
      </c>
      <c r="AH186">
        <f>IFERROR(VLOOKUP(F186,[5]actual_week11_ppr_stats!$A:$B,2,FALSE),0)</f>
        <v>125.3</v>
      </c>
    </row>
    <row r="187" spans="1:34" x14ac:dyDescent="0.2">
      <c r="A187">
        <v>186</v>
      </c>
      <c r="B187">
        <v>19464</v>
      </c>
      <c r="C187" t="s">
        <v>215</v>
      </c>
      <c r="D187" t="str" cm="1">
        <f t="array" ref="D187:E187">_xlfn.TEXTSPLIT(C187, ", ")</f>
        <v>Likely</v>
      </c>
      <c r="E187" t="str">
        <v>Isaiah</v>
      </c>
      <c r="F187" t="str">
        <f t="shared" si="51"/>
        <v>Isaiah Likely</v>
      </c>
      <c r="G187" t="s">
        <v>33</v>
      </c>
      <c r="H187" t="s">
        <v>47</v>
      </c>
      <c r="I187">
        <v>197.02</v>
      </c>
      <c r="J187">
        <v>151</v>
      </c>
      <c r="K187">
        <v>240</v>
      </c>
      <c r="L187">
        <f>VLOOKUP(G187,byes!$A:$B,2,FALSE)</f>
        <v>7</v>
      </c>
      <c r="M187">
        <f t="shared" si="52"/>
        <v>0</v>
      </c>
      <c r="N187">
        <f t="shared" si="53"/>
        <v>0</v>
      </c>
      <c r="O187">
        <f t="shared" si="54"/>
        <v>1</v>
      </c>
      <c r="P187">
        <f t="shared" si="55"/>
        <v>0</v>
      </c>
      <c r="Q187">
        <f t="shared" si="56"/>
        <v>0</v>
      </c>
      <c r="R187">
        <f t="shared" si="57"/>
        <v>0</v>
      </c>
      <c r="S187">
        <f t="shared" si="58"/>
        <v>0</v>
      </c>
      <c r="T187">
        <f t="shared" si="59"/>
        <v>0</v>
      </c>
      <c r="U187">
        <f t="shared" si="60"/>
        <v>0</v>
      </c>
      <c r="V187">
        <f t="shared" si="61"/>
        <v>0</v>
      </c>
      <c r="W187">
        <f t="shared" si="62"/>
        <v>0</v>
      </c>
      <c r="X187">
        <f t="shared" si="63"/>
        <v>0</v>
      </c>
      <c r="Y187">
        <f t="shared" si="64"/>
        <v>1</v>
      </c>
      <c r="Z187">
        <f t="shared" si="65"/>
        <v>1</v>
      </c>
      <c r="AA187">
        <v>1</v>
      </c>
      <c r="AB187">
        <f>VLOOKUP(F187,[1]pff_ppr_projections!$B:$D,3,FALSE)</f>
        <v>126.5</v>
      </c>
      <c r="AC187">
        <f>VLOOKUP(F187,[2]numberFire_ppr_projections!$A:$B,2,FALSE)</f>
        <v>123</v>
      </c>
      <c r="AD187">
        <f>VLOOKUP(F187,[3]rotoballer_ppr_projections!$B:$G,6,FALSE)</f>
        <v>110</v>
      </c>
      <c r="AE187">
        <f>VLOOKUP(F187,[4]ppr!$B:$E,4,FALSE)</f>
        <v>131.14823938253451</v>
      </c>
      <c r="AF187">
        <f>VLOOKUP(F187,[4]half_ppr!$B:$E,4,FALSE)</f>
        <v>108.55058894213452</v>
      </c>
      <c r="AG187">
        <f>VLOOKUP(F187,[4]std!$B:$E,4,FALSE)</f>
        <v>85.952938501734522</v>
      </c>
      <c r="AH187">
        <f>IFERROR(VLOOKUP(F187,[5]actual_week11_ppr_stats!$A:$B,2,FALSE),0)</f>
        <v>23.8</v>
      </c>
    </row>
    <row r="188" spans="1:34" x14ac:dyDescent="0.2">
      <c r="A188">
        <v>187</v>
      </c>
      <c r="B188">
        <v>20334</v>
      </c>
      <c r="C188" t="s">
        <v>216</v>
      </c>
      <c r="D188" t="str" cm="1">
        <f t="array" ref="D188:E188">_xlfn.TEXTSPLIT(C188, ", ")</f>
        <v>Johnson</v>
      </c>
      <c r="E188" t="str">
        <v>Roschon</v>
      </c>
      <c r="F188" t="str">
        <f t="shared" si="51"/>
        <v>Roschon Johnson</v>
      </c>
      <c r="G188" t="s">
        <v>86</v>
      </c>
      <c r="H188" t="s">
        <v>12</v>
      </c>
      <c r="I188">
        <v>197.54</v>
      </c>
      <c r="J188">
        <v>148</v>
      </c>
      <c r="K188">
        <v>238</v>
      </c>
      <c r="L188">
        <f>VLOOKUP(G188,byes!$A:$B,2,FALSE)</f>
        <v>5</v>
      </c>
      <c r="M188">
        <f t="shared" si="52"/>
        <v>1</v>
      </c>
      <c r="N188">
        <f t="shared" si="53"/>
        <v>0</v>
      </c>
      <c r="O188">
        <f t="shared" si="54"/>
        <v>0</v>
      </c>
      <c r="P188">
        <f t="shared" si="55"/>
        <v>0</v>
      </c>
      <c r="Q188">
        <f t="shared" si="56"/>
        <v>0</v>
      </c>
      <c r="R188">
        <f t="shared" si="57"/>
        <v>0</v>
      </c>
      <c r="S188">
        <f t="shared" si="58"/>
        <v>0</v>
      </c>
      <c r="T188">
        <f t="shared" si="59"/>
        <v>0</v>
      </c>
      <c r="U188">
        <f t="shared" si="60"/>
        <v>0</v>
      </c>
      <c r="V188">
        <f t="shared" si="61"/>
        <v>0</v>
      </c>
      <c r="W188">
        <f t="shared" si="62"/>
        <v>1</v>
      </c>
      <c r="X188">
        <f t="shared" si="63"/>
        <v>0</v>
      </c>
      <c r="Y188">
        <f t="shared" si="64"/>
        <v>0</v>
      </c>
      <c r="Z188">
        <f t="shared" si="65"/>
        <v>1</v>
      </c>
      <c r="AA188">
        <v>1</v>
      </c>
      <c r="AB188">
        <f>VLOOKUP(F188,[1]pff_ppr_projections!$B:$D,3,FALSE)</f>
        <v>110.3</v>
      </c>
      <c r="AC188" s="1">
        <f>AVERAGE(AB188,AD188,AE188)</f>
        <v>84.875279311626386</v>
      </c>
      <c r="AD188">
        <f>VLOOKUP(F188,[3]rotoballer_ppr_projections!$B:$G,6,FALSE)</f>
        <v>78</v>
      </c>
      <c r="AE188">
        <f>VLOOKUP(F188,[4]ppr!$B:$E,4,FALSE)</f>
        <v>66.325837934879132</v>
      </c>
      <c r="AF188">
        <f>VLOOKUP(F188,[4]half_ppr!$B:$E,4,FALSE)</f>
        <v>60.43835016647914</v>
      </c>
      <c r="AG188">
        <f>VLOOKUP(F188,[4]std!$B:$E,4,FALSE)</f>
        <v>54.55086239807914</v>
      </c>
      <c r="AH188">
        <f>IFERROR(VLOOKUP(F188,[5]actual_week11_ppr_stats!$A:$B,2,FALSE),0)</f>
        <v>1.7</v>
      </c>
    </row>
    <row r="189" spans="1:34" x14ac:dyDescent="0.2">
      <c r="A189">
        <v>188</v>
      </c>
      <c r="B189">
        <v>21127</v>
      </c>
      <c r="C189" t="s">
        <v>217</v>
      </c>
      <c r="D189" t="str" cm="1">
        <f t="array" ref="D189:E189">_xlfn.TEXTSPLIT(C189, ", ")</f>
        <v>Franklin</v>
      </c>
      <c r="E189" t="str">
        <v>Troy</v>
      </c>
      <c r="F189" t="str">
        <f t="shared" si="51"/>
        <v>Troy Franklin</v>
      </c>
      <c r="G189" t="s">
        <v>79</v>
      </c>
      <c r="H189" t="s">
        <v>9</v>
      </c>
      <c r="I189">
        <v>199.39</v>
      </c>
      <c r="J189">
        <v>155</v>
      </c>
      <c r="K189">
        <v>234</v>
      </c>
      <c r="L189">
        <f>VLOOKUP(G189,byes!$A:$B,2,FALSE)</f>
        <v>12</v>
      </c>
      <c r="M189">
        <f t="shared" si="52"/>
        <v>0</v>
      </c>
      <c r="N189">
        <f t="shared" si="53"/>
        <v>0</v>
      </c>
      <c r="O189">
        <f t="shared" si="54"/>
        <v>0</v>
      </c>
      <c r="P189">
        <f t="shared" si="55"/>
        <v>0</v>
      </c>
      <c r="Q189">
        <f t="shared" si="56"/>
        <v>0</v>
      </c>
      <c r="R189">
        <f t="shared" si="57"/>
        <v>0</v>
      </c>
      <c r="S189">
        <f t="shared" si="58"/>
        <v>0</v>
      </c>
      <c r="T189">
        <f t="shared" si="59"/>
        <v>1</v>
      </c>
      <c r="U189">
        <f t="shared" si="60"/>
        <v>0</v>
      </c>
      <c r="V189">
        <f t="shared" si="61"/>
        <v>0</v>
      </c>
      <c r="W189">
        <f t="shared" si="62"/>
        <v>0</v>
      </c>
      <c r="X189">
        <f t="shared" si="63"/>
        <v>1</v>
      </c>
      <c r="Y189">
        <f t="shared" si="64"/>
        <v>0</v>
      </c>
      <c r="Z189">
        <f t="shared" si="65"/>
        <v>1</v>
      </c>
      <c r="AA189">
        <f t="shared" si="47"/>
        <v>1</v>
      </c>
      <c r="AB189">
        <f>VLOOKUP(F189,[1]pff_ppr_projections!$B:$D,3,FALSE)</f>
        <v>77</v>
      </c>
      <c r="AC189" s="1">
        <f t="shared" ref="AC189:AC194" si="66">AVERAGE(AB189,AD189,AE189)</f>
        <v>83.252462579605321</v>
      </c>
      <c r="AD189">
        <f>VLOOKUP(F189,[3]rotoballer_ppr_projections!$B:$G,6,FALSE)</f>
        <v>90</v>
      </c>
      <c r="AE189">
        <f>VLOOKUP(F189,[4]ppr!$B:$E,4,FALSE)</f>
        <v>82.757387738815979</v>
      </c>
      <c r="AF189">
        <f>VLOOKUP(F189,[4]half_ppr!$B:$E,4,FALSE)</f>
        <v>67.494129210815984</v>
      </c>
      <c r="AG189">
        <f>VLOOKUP(F189,[4]std!$B:$E,4,FALSE)</f>
        <v>52.23087068281599</v>
      </c>
      <c r="AH189">
        <f>IFERROR(VLOOKUP(F189,[5]actual_week11_ppr_stats!$A:$B,2,FALSE),0)</f>
        <v>127.8</v>
      </c>
    </row>
    <row r="190" spans="1:34" x14ac:dyDescent="0.2">
      <c r="A190">
        <v>189</v>
      </c>
      <c r="B190">
        <v>17020</v>
      </c>
      <c r="C190" t="s">
        <v>218</v>
      </c>
      <c r="D190" t="str" cm="1">
        <f t="array" ref="D190:E190">_xlfn.TEXTSPLIT(C190, ", ")</f>
        <v>Hill</v>
      </c>
      <c r="E190" t="str">
        <v>Justice</v>
      </c>
      <c r="F190" t="str">
        <f t="shared" si="51"/>
        <v>Justice Hill</v>
      </c>
      <c r="G190" t="s">
        <v>33</v>
      </c>
      <c r="H190" t="s">
        <v>12</v>
      </c>
      <c r="I190">
        <v>199.62</v>
      </c>
      <c r="J190">
        <v>138</v>
      </c>
      <c r="K190">
        <v>240</v>
      </c>
      <c r="L190">
        <f>VLOOKUP(G190,byes!$A:$B,2,FALSE)</f>
        <v>7</v>
      </c>
      <c r="M190">
        <f t="shared" si="52"/>
        <v>0</v>
      </c>
      <c r="N190">
        <f t="shared" si="53"/>
        <v>0</v>
      </c>
      <c r="O190">
        <f t="shared" si="54"/>
        <v>1</v>
      </c>
      <c r="P190">
        <f t="shared" si="55"/>
        <v>0</v>
      </c>
      <c r="Q190">
        <f t="shared" si="56"/>
        <v>0</v>
      </c>
      <c r="R190">
        <f t="shared" si="57"/>
        <v>0</v>
      </c>
      <c r="S190">
        <f t="shared" si="58"/>
        <v>0</v>
      </c>
      <c r="T190">
        <f t="shared" si="59"/>
        <v>0</v>
      </c>
      <c r="U190">
        <f t="shared" si="60"/>
        <v>0</v>
      </c>
      <c r="V190">
        <f t="shared" si="61"/>
        <v>0</v>
      </c>
      <c r="W190">
        <f t="shared" si="62"/>
        <v>1</v>
      </c>
      <c r="X190">
        <f t="shared" si="63"/>
        <v>0</v>
      </c>
      <c r="Y190">
        <f t="shared" si="64"/>
        <v>0</v>
      </c>
      <c r="Z190">
        <f t="shared" si="65"/>
        <v>1</v>
      </c>
      <c r="AA190">
        <v>1</v>
      </c>
      <c r="AB190">
        <f>VLOOKUP(F190,[1]pff_ppr_projections!$B:$D,3,FALSE)</f>
        <v>116.5</v>
      </c>
      <c r="AC190" s="1">
        <f t="shared" si="66"/>
        <v>71.845748131311694</v>
      </c>
      <c r="AD190">
        <f>VLOOKUP(F190,[3]rotoballer_ppr_projections!$B:$G,6,FALSE)</f>
        <v>78</v>
      </c>
      <c r="AE190">
        <f>VLOOKUP(F190,[4]ppr!$B:$E,4,FALSE)</f>
        <v>21.037244393935083</v>
      </c>
      <c r="AF190">
        <f>VLOOKUP(F190,[4]half_ppr!$B:$E,4,FALSE)</f>
        <v>18.214831987135085</v>
      </c>
      <c r="AG190">
        <f>VLOOKUP(F190,[4]std!$B:$E,4,FALSE)</f>
        <v>15.392419580335083</v>
      </c>
      <c r="AH190">
        <f>IFERROR(VLOOKUP(F190,[5]actual_week11_ppr_stats!$A:$B,2,FALSE),0)</f>
        <v>65.2</v>
      </c>
    </row>
    <row r="191" spans="1:34" x14ac:dyDescent="0.2">
      <c r="A191">
        <v>190</v>
      </c>
      <c r="B191">
        <v>20281</v>
      </c>
      <c r="C191" t="s">
        <v>219</v>
      </c>
      <c r="D191" t="str" cm="1">
        <f t="array" ref="D191:E191">_xlfn.TEXTSPLIT(C191, ", ")</f>
        <v>Young</v>
      </c>
      <c r="E191" t="str">
        <v>Bryce</v>
      </c>
      <c r="F191" t="str">
        <f t="shared" si="51"/>
        <v>Bryce Young</v>
      </c>
      <c r="G191" t="s">
        <v>68</v>
      </c>
      <c r="H191" t="s">
        <v>57</v>
      </c>
      <c r="I191">
        <v>200.12</v>
      </c>
      <c r="J191">
        <v>159</v>
      </c>
      <c r="K191">
        <v>239</v>
      </c>
      <c r="L191">
        <f>VLOOKUP(G191,byes!$A:$B,2,FALSE)</f>
        <v>14</v>
      </c>
      <c r="M191">
        <f t="shared" si="52"/>
        <v>0</v>
      </c>
      <c r="N191">
        <f t="shared" si="53"/>
        <v>0</v>
      </c>
      <c r="O191">
        <f t="shared" si="54"/>
        <v>0</v>
      </c>
      <c r="P191">
        <f t="shared" si="55"/>
        <v>0</v>
      </c>
      <c r="Q191">
        <f t="shared" si="56"/>
        <v>0</v>
      </c>
      <c r="R191">
        <f t="shared" si="57"/>
        <v>0</v>
      </c>
      <c r="S191">
        <f t="shared" si="58"/>
        <v>0</v>
      </c>
      <c r="T191">
        <f t="shared" si="59"/>
        <v>0</v>
      </c>
      <c r="U191">
        <f t="shared" si="60"/>
        <v>1</v>
      </c>
      <c r="V191">
        <f t="shared" si="61"/>
        <v>1</v>
      </c>
      <c r="W191">
        <f t="shared" si="62"/>
        <v>0</v>
      </c>
      <c r="X191">
        <f t="shared" si="63"/>
        <v>0</v>
      </c>
      <c r="Y191">
        <f t="shared" si="64"/>
        <v>0</v>
      </c>
      <c r="Z191">
        <f t="shared" si="65"/>
        <v>0</v>
      </c>
      <c r="AA191">
        <v>1</v>
      </c>
      <c r="AB191">
        <f>VLOOKUP(F191,[1]pff_ppr_projections!$B:$D,3,FALSE)</f>
        <v>223.1</v>
      </c>
      <c r="AC191" s="1">
        <f t="shared" si="66"/>
        <v>246.32128021212012</v>
      </c>
      <c r="AD191">
        <f>VLOOKUP(F191,[3]rotoballer_ppr_projections!$B:$G,6,FALSE)</f>
        <v>243</v>
      </c>
      <c r="AE191">
        <f>VLOOKUP(F191,[4]ppr!$B:$E,4,FALSE)</f>
        <v>272.86384063636029</v>
      </c>
      <c r="AF191">
        <f>VLOOKUP(F191,[4]half_ppr!$B:$E,4,FALSE)</f>
        <v>272.86384063636029</v>
      </c>
      <c r="AG191">
        <f>VLOOKUP(F191,[4]std!$B:$E,4,FALSE)</f>
        <v>272.86384063636029</v>
      </c>
      <c r="AH191">
        <f>IFERROR(VLOOKUP(F191,[5]actual_week11_ppr_stats!$A:$B,2,FALSE),0)</f>
        <v>141.80000000000001</v>
      </c>
    </row>
    <row r="192" spans="1:34" x14ac:dyDescent="0.2">
      <c r="A192">
        <v>191</v>
      </c>
      <c r="B192">
        <v>19447</v>
      </c>
      <c r="C192" t="s">
        <v>220</v>
      </c>
      <c r="D192" t="str" cm="1">
        <f t="array" ref="D192:E192">_xlfn.TEXTSPLIT(C192, ", ")</f>
        <v>Pierce</v>
      </c>
      <c r="E192" t="str">
        <v>Dameon</v>
      </c>
      <c r="F192" t="str">
        <f t="shared" si="51"/>
        <v>Dameon Pierce</v>
      </c>
      <c r="G192" t="s">
        <v>28</v>
      </c>
      <c r="H192" t="s">
        <v>12</v>
      </c>
      <c r="I192">
        <v>202.69</v>
      </c>
      <c r="J192">
        <v>124</v>
      </c>
      <c r="K192">
        <v>240</v>
      </c>
      <c r="L192">
        <f>VLOOKUP(G192,byes!$A:$B,2,FALSE)</f>
        <v>6</v>
      </c>
      <c r="M192">
        <f t="shared" si="52"/>
        <v>0</v>
      </c>
      <c r="N192">
        <f t="shared" si="53"/>
        <v>1</v>
      </c>
      <c r="O192">
        <f t="shared" si="54"/>
        <v>0</v>
      </c>
      <c r="P192">
        <f t="shared" si="55"/>
        <v>0</v>
      </c>
      <c r="Q192">
        <f t="shared" si="56"/>
        <v>0</v>
      </c>
      <c r="R192">
        <f t="shared" si="57"/>
        <v>0</v>
      </c>
      <c r="S192">
        <f t="shared" si="58"/>
        <v>0</v>
      </c>
      <c r="T192">
        <f t="shared" si="59"/>
        <v>0</v>
      </c>
      <c r="U192">
        <f t="shared" si="60"/>
        <v>0</v>
      </c>
      <c r="V192">
        <f t="shared" si="61"/>
        <v>0</v>
      </c>
      <c r="W192">
        <f t="shared" si="62"/>
        <v>1</v>
      </c>
      <c r="X192">
        <f t="shared" si="63"/>
        <v>0</v>
      </c>
      <c r="Y192">
        <f t="shared" si="64"/>
        <v>0</v>
      </c>
      <c r="Z192">
        <f t="shared" si="65"/>
        <v>1</v>
      </c>
      <c r="AA192">
        <v>1</v>
      </c>
      <c r="AB192">
        <f>VLOOKUP(F192,[1]pff_ppr_projections!$B:$D,3,FALSE)</f>
        <v>0</v>
      </c>
      <c r="AC192" s="1">
        <f t="shared" si="66"/>
        <v>27.115203551630003</v>
      </c>
      <c r="AD192">
        <f>VLOOKUP(F192,[3]rotoballer_ppr_projections!$B:$G,6,FALSE)</f>
        <v>36</v>
      </c>
      <c r="AE192">
        <f>VLOOKUP(F192,[4]ppr!$B:$E,4,FALSE)</f>
        <v>45.345610654890002</v>
      </c>
      <c r="AF192">
        <f>VLOOKUP(F192,[4]half_ppr!$B:$E,4,FALSE)</f>
        <v>39.878101107390002</v>
      </c>
      <c r="AG192">
        <f>VLOOKUP(F192,[4]std!$B:$E,4,FALSE)</f>
        <v>34.410591559890001</v>
      </c>
      <c r="AH192">
        <f>IFERROR(VLOOKUP(F192,[5]actual_week11_ppr_stats!$A:$B,2,FALSE),0)</f>
        <v>2.6</v>
      </c>
    </row>
    <row r="193" spans="1:34" x14ac:dyDescent="0.2">
      <c r="A193">
        <v>192</v>
      </c>
      <c r="B193">
        <v>21171</v>
      </c>
      <c r="C193" t="s">
        <v>221</v>
      </c>
      <c r="D193" t="str" cm="1">
        <f t="array" ref="D193:E193">_xlfn.TEXTSPLIT(C193, ", ")</f>
        <v>Horton</v>
      </c>
      <c r="E193" t="str">
        <v>Tory</v>
      </c>
      <c r="F193" t="str">
        <f t="shared" si="51"/>
        <v>Tory Horton</v>
      </c>
      <c r="G193" t="s">
        <v>51</v>
      </c>
      <c r="H193" t="s">
        <v>9</v>
      </c>
      <c r="I193">
        <v>206.28</v>
      </c>
      <c r="J193">
        <v>158</v>
      </c>
      <c r="K193">
        <v>240</v>
      </c>
      <c r="L193">
        <f>VLOOKUP(G193,byes!$A:$B,2,FALSE)</f>
        <v>8</v>
      </c>
      <c r="M193">
        <f t="shared" si="52"/>
        <v>0</v>
      </c>
      <c r="N193">
        <f t="shared" si="53"/>
        <v>0</v>
      </c>
      <c r="O193">
        <f t="shared" si="54"/>
        <v>0</v>
      </c>
      <c r="P193">
        <f t="shared" si="55"/>
        <v>1</v>
      </c>
      <c r="Q193">
        <f t="shared" si="56"/>
        <v>0</v>
      </c>
      <c r="R193">
        <f t="shared" si="57"/>
        <v>0</v>
      </c>
      <c r="S193">
        <f t="shared" si="58"/>
        <v>0</v>
      </c>
      <c r="T193">
        <f t="shared" si="59"/>
        <v>0</v>
      </c>
      <c r="U193">
        <f t="shared" si="60"/>
        <v>0</v>
      </c>
      <c r="V193">
        <f t="shared" si="61"/>
        <v>0</v>
      </c>
      <c r="W193">
        <f t="shared" si="62"/>
        <v>0</v>
      </c>
      <c r="X193">
        <f t="shared" si="63"/>
        <v>1</v>
      </c>
      <c r="Y193">
        <f t="shared" si="64"/>
        <v>0</v>
      </c>
      <c r="Z193">
        <f t="shared" si="65"/>
        <v>1</v>
      </c>
      <c r="AA193">
        <f t="shared" si="47"/>
        <v>1</v>
      </c>
      <c r="AB193">
        <f>VLOOKUP(F193,[1]pff_ppr_projections!$B:$D,3,FALSE)</f>
        <v>39.6</v>
      </c>
      <c r="AC193" s="1">
        <f t="shared" si="66"/>
        <v>89.647476081247575</v>
      </c>
      <c r="AD193">
        <f>VLOOKUP(F193,[3]rotoballer_ppr_projections!$B:$G,6,FALSE)</f>
        <v>94</v>
      </c>
      <c r="AE193">
        <f>VLOOKUP(F193,[4]ppr!$B:$E,4,FALSE)</f>
        <v>135.34242824374272</v>
      </c>
      <c r="AF193">
        <f>VLOOKUP(F193,[4]half_ppr!$B:$E,4,FALSE)</f>
        <v>111.97529629558271</v>
      </c>
      <c r="AG193">
        <f>VLOOKUP(F193,[4]std!$B:$E,4,FALSE)</f>
        <v>88.608164347422715</v>
      </c>
      <c r="AH193">
        <f>IFERROR(VLOOKUP(F193,[5]actual_week11_ppr_stats!$A:$B,2,FALSE),0)</f>
        <v>59.1</v>
      </c>
    </row>
    <row r="194" spans="1:34" x14ac:dyDescent="0.2">
      <c r="A194">
        <v>193</v>
      </c>
      <c r="B194">
        <v>20285</v>
      </c>
      <c r="C194" t="s">
        <v>222</v>
      </c>
      <c r="D194" t="str" cm="1">
        <f t="array" ref="D194:E194">_xlfn.TEXTSPLIT(C194, ", ")</f>
        <v>Tucker</v>
      </c>
      <c r="E194" t="str">
        <v>Sean</v>
      </c>
      <c r="F194" t="str">
        <f t="shared" si="51"/>
        <v>Sean Tucker</v>
      </c>
      <c r="G194" t="s">
        <v>45</v>
      </c>
      <c r="H194" t="s">
        <v>12</v>
      </c>
      <c r="I194">
        <v>206.77</v>
      </c>
      <c r="J194">
        <v>162</v>
      </c>
      <c r="K194">
        <v>240</v>
      </c>
      <c r="L194">
        <f>VLOOKUP(G194,byes!$A:$B,2,FALSE)</f>
        <v>9</v>
      </c>
      <c r="M194">
        <f t="shared" si="52"/>
        <v>0</v>
      </c>
      <c r="N194">
        <f t="shared" si="53"/>
        <v>0</v>
      </c>
      <c r="O194">
        <f t="shared" si="54"/>
        <v>0</v>
      </c>
      <c r="P194">
        <f t="shared" si="55"/>
        <v>0</v>
      </c>
      <c r="Q194">
        <f t="shared" si="56"/>
        <v>1</v>
      </c>
      <c r="R194">
        <f t="shared" si="57"/>
        <v>0</v>
      </c>
      <c r="S194">
        <f t="shared" si="58"/>
        <v>0</v>
      </c>
      <c r="T194">
        <f t="shared" si="59"/>
        <v>0</v>
      </c>
      <c r="U194">
        <f t="shared" si="60"/>
        <v>0</v>
      </c>
      <c r="V194">
        <f t="shared" si="61"/>
        <v>0</v>
      </c>
      <c r="W194">
        <f t="shared" si="62"/>
        <v>1</v>
      </c>
      <c r="X194">
        <f t="shared" si="63"/>
        <v>0</v>
      </c>
      <c r="Y194">
        <f t="shared" si="64"/>
        <v>0</v>
      </c>
      <c r="Z194">
        <f t="shared" si="65"/>
        <v>1</v>
      </c>
      <c r="AA194">
        <v>1</v>
      </c>
      <c r="AB194">
        <f>VLOOKUP(F194,[1]pff_ppr_projections!$B:$D,3,FALSE)</f>
        <v>21.3</v>
      </c>
      <c r="AC194" s="1">
        <f t="shared" si="66"/>
        <v>29.902321085776524</v>
      </c>
      <c r="AD194">
        <f>VLOOKUP(F194,[3]rotoballer_ppr_projections!$B:$G,6,FALSE)</f>
        <v>37</v>
      </c>
      <c r="AE194">
        <f>VLOOKUP(F194,[4]ppr!$B:$E,4,FALSE)</f>
        <v>31.406963257329583</v>
      </c>
      <c r="AF194">
        <f>VLOOKUP(F194,[4]half_ppr!$B:$E,4,FALSE)</f>
        <v>28.947461781009583</v>
      </c>
      <c r="AG194">
        <f>VLOOKUP(F194,[4]std!$B:$E,4,FALSE)</f>
        <v>26.487960304689583</v>
      </c>
      <c r="AH194">
        <f>IFERROR(VLOOKUP(F194,[5]actual_week11_ppr_stats!$A:$B,2,FALSE),0)</f>
        <v>63.5</v>
      </c>
    </row>
    <row r="195" spans="1:34" x14ac:dyDescent="0.2">
      <c r="A195">
        <v>194</v>
      </c>
      <c r="B195">
        <v>21160</v>
      </c>
      <c r="C195" t="s">
        <v>223</v>
      </c>
      <c r="D195" t="str" cm="1">
        <f t="array" ref="D195:E195">_xlfn.TEXTSPLIT(C195, ", ")</f>
        <v>Wright</v>
      </c>
      <c r="E195" t="str">
        <v>Jaylen</v>
      </c>
      <c r="F195" t="str">
        <f t="shared" si="51"/>
        <v>Jaylen Wright</v>
      </c>
      <c r="G195" t="s">
        <v>38</v>
      </c>
      <c r="H195" t="s">
        <v>12</v>
      </c>
      <c r="I195">
        <v>207.82</v>
      </c>
      <c r="J195">
        <v>146</v>
      </c>
      <c r="K195">
        <v>239</v>
      </c>
      <c r="L195">
        <f>VLOOKUP(G195,byes!$A:$B,2,FALSE)</f>
        <v>12</v>
      </c>
      <c r="M195">
        <f t="shared" si="52"/>
        <v>0</v>
      </c>
      <c r="N195">
        <f t="shared" si="53"/>
        <v>0</v>
      </c>
      <c r="O195">
        <f t="shared" si="54"/>
        <v>0</v>
      </c>
      <c r="P195">
        <f t="shared" si="55"/>
        <v>0</v>
      </c>
      <c r="Q195">
        <f t="shared" si="56"/>
        <v>0</v>
      </c>
      <c r="R195">
        <f t="shared" si="57"/>
        <v>0</v>
      </c>
      <c r="S195">
        <f t="shared" si="58"/>
        <v>0</v>
      </c>
      <c r="T195">
        <f t="shared" si="59"/>
        <v>1</v>
      </c>
      <c r="U195">
        <f t="shared" si="60"/>
        <v>0</v>
      </c>
      <c r="V195">
        <f t="shared" si="61"/>
        <v>0</v>
      </c>
      <c r="W195">
        <f t="shared" si="62"/>
        <v>1</v>
      </c>
      <c r="X195">
        <f t="shared" si="63"/>
        <v>0</v>
      </c>
      <c r="Y195">
        <f t="shared" si="64"/>
        <v>0</v>
      </c>
      <c r="Z195">
        <f t="shared" si="65"/>
        <v>1</v>
      </c>
      <c r="AA195">
        <v>1</v>
      </c>
      <c r="AB195">
        <f>VLOOKUP(F195,[1]pff_ppr_projections!$B:$D,3,FALSE)</f>
        <v>101.1</v>
      </c>
      <c r="AC195">
        <f>VLOOKUP(F195,[2]numberFire_ppr_projections!$A:$B,2,FALSE)</f>
        <v>110.8</v>
      </c>
      <c r="AD195">
        <f>VLOOKUP(F195,[3]rotoballer_ppr_projections!$B:$G,6,FALSE)</f>
        <v>77</v>
      </c>
      <c r="AE195">
        <f>VLOOKUP(F195,[4]ppr!$B:$E,4,FALSE)</f>
        <v>70.911573975149082</v>
      </c>
      <c r="AF195">
        <f>VLOOKUP(F195,[4]half_ppr!$B:$E,4,FALSE)</f>
        <v>60.566951526989079</v>
      </c>
      <c r="AG195">
        <f>VLOOKUP(F195,[4]std!$B:$E,4,FALSE)</f>
        <v>50.222329078829077</v>
      </c>
      <c r="AH195">
        <f>IFERROR(VLOOKUP(F195,[5]actual_week11_ppr_stats!$A:$B,2,FALSE),0)</f>
        <v>5.9</v>
      </c>
    </row>
    <row r="196" spans="1:34" x14ac:dyDescent="0.2">
      <c r="A196">
        <v>195</v>
      </c>
      <c r="B196">
        <v>21570</v>
      </c>
      <c r="C196" t="s">
        <v>224</v>
      </c>
      <c r="D196" t="str" cm="1">
        <f t="array" ref="D196:E196">_xlfn.TEXTSPLIT(C196, ", ")</f>
        <v>Coker</v>
      </c>
      <c r="E196" t="str">
        <v>Jalen</v>
      </c>
      <c r="F196" t="str">
        <f t="shared" si="51"/>
        <v>Jalen Coker</v>
      </c>
      <c r="G196" t="s">
        <v>68</v>
      </c>
      <c r="H196" t="s">
        <v>9</v>
      </c>
      <c r="I196">
        <v>208.95</v>
      </c>
      <c r="J196">
        <v>124</v>
      </c>
      <c r="K196">
        <v>240</v>
      </c>
      <c r="L196">
        <f>VLOOKUP(G196,byes!$A:$B,2,FALSE)</f>
        <v>14</v>
      </c>
      <c r="M196">
        <f t="shared" si="52"/>
        <v>0</v>
      </c>
      <c r="N196">
        <f t="shared" si="53"/>
        <v>0</v>
      </c>
      <c r="O196">
        <f t="shared" si="54"/>
        <v>0</v>
      </c>
      <c r="P196">
        <f t="shared" si="55"/>
        <v>0</v>
      </c>
      <c r="Q196">
        <f t="shared" si="56"/>
        <v>0</v>
      </c>
      <c r="R196">
        <f t="shared" si="57"/>
        <v>0</v>
      </c>
      <c r="S196">
        <f t="shared" si="58"/>
        <v>0</v>
      </c>
      <c r="T196">
        <f t="shared" si="59"/>
        <v>0</v>
      </c>
      <c r="U196">
        <f t="shared" si="60"/>
        <v>1</v>
      </c>
      <c r="V196">
        <f t="shared" si="61"/>
        <v>0</v>
      </c>
      <c r="W196">
        <f t="shared" si="62"/>
        <v>0</v>
      </c>
      <c r="X196">
        <f t="shared" si="63"/>
        <v>1</v>
      </c>
      <c r="Y196">
        <f t="shared" si="64"/>
        <v>0</v>
      </c>
      <c r="Z196">
        <f t="shared" si="65"/>
        <v>1</v>
      </c>
      <c r="AA196">
        <v>1</v>
      </c>
      <c r="AB196">
        <f>VLOOKUP(F196,[1]pff_ppr_projections!$B:$D,3,FALSE)</f>
        <v>63.4</v>
      </c>
      <c r="AC196" s="1">
        <f>AVERAGE(AB196,AD196,AE196)</f>
        <v>102.74498100325633</v>
      </c>
      <c r="AD196">
        <f>VLOOKUP(F196,[3]rotoballer_ppr_projections!$B:$G,6,FALSE)</f>
        <v>112</v>
      </c>
      <c r="AE196">
        <f>VLOOKUP(F196,[4]ppr!$B:$E,4,FALSE)</f>
        <v>132.83494300976898</v>
      </c>
      <c r="AF196">
        <f>VLOOKUP(F196,[4]half_ppr!$B:$E,4,FALSE)</f>
        <v>107.34857635401897</v>
      </c>
      <c r="AG196">
        <f>VLOOKUP(F196,[4]std!$B:$E,4,FALSE)</f>
        <v>81.862209698268998</v>
      </c>
      <c r="AH196">
        <f>IFERROR(VLOOKUP(F196,[5]actual_week11_ppr_stats!$A:$B,2,FALSE),0)</f>
        <v>22.8</v>
      </c>
    </row>
    <row r="197" spans="1:34" x14ac:dyDescent="0.2">
      <c r="A197">
        <v>196</v>
      </c>
      <c r="B197">
        <v>17975</v>
      </c>
      <c r="C197" t="s">
        <v>225</v>
      </c>
      <c r="D197" t="str" cm="1">
        <f t="array" ref="D197:E197">_xlfn.TEXTSPLIT(C197, ", ")</f>
        <v>Tagovailoa</v>
      </c>
      <c r="E197" t="str">
        <v>Tua</v>
      </c>
      <c r="F197" t="str">
        <f t="shared" si="51"/>
        <v>Tua Tagovailoa</v>
      </c>
      <c r="G197" t="s">
        <v>38</v>
      </c>
      <c r="H197" t="s">
        <v>57</v>
      </c>
      <c r="I197">
        <v>210.88</v>
      </c>
      <c r="J197">
        <v>148</v>
      </c>
      <c r="K197">
        <v>240</v>
      </c>
      <c r="L197">
        <f>VLOOKUP(G197,byes!$A:$B,2,FALSE)</f>
        <v>12</v>
      </c>
      <c r="M197">
        <f t="shared" si="52"/>
        <v>0</v>
      </c>
      <c r="N197">
        <f t="shared" si="53"/>
        <v>0</v>
      </c>
      <c r="O197">
        <f t="shared" si="54"/>
        <v>0</v>
      </c>
      <c r="P197">
        <f t="shared" si="55"/>
        <v>0</v>
      </c>
      <c r="Q197">
        <f t="shared" si="56"/>
        <v>0</v>
      </c>
      <c r="R197">
        <f t="shared" si="57"/>
        <v>0</v>
      </c>
      <c r="S197">
        <f t="shared" si="58"/>
        <v>0</v>
      </c>
      <c r="T197">
        <f t="shared" si="59"/>
        <v>1</v>
      </c>
      <c r="U197">
        <f t="shared" si="60"/>
        <v>0</v>
      </c>
      <c r="V197">
        <f t="shared" si="61"/>
        <v>1</v>
      </c>
      <c r="W197">
        <f t="shared" si="62"/>
        <v>0</v>
      </c>
      <c r="X197">
        <f t="shared" si="63"/>
        <v>0</v>
      </c>
      <c r="Y197">
        <f t="shared" si="64"/>
        <v>0</v>
      </c>
      <c r="Z197">
        <f t="shared" si="65"/>
        <v>0</v>
      </c>
      <c r="AA197">
        <f t="shared" ref="AA197:AA209" si="67">IF(OR(H197="RB",H197="WR",H197="TE", H197="QB"),1,0)</f>
        <v>1</v>
      </c>
      <c r="AB197">
        <f>VLOOKUP(F197,[1]pff_ppr_projections!$B:$D,3,FALSE)</f>
        <v>264.2</v>
      </c>
      <c r="AC197" s="1">
        <f t="shared" ref="AC197:AC201" si="68">AVERAGE(AB197,AD197,AE197)</f>
        <v>263.87156054177143</v>
      </c>
      <c r="AD197">
        <f>VLOOKUP(F197,[3]rotoballer_ppr_projections!$B:$G,6,FALSE)</f>
        <v>248</v>
      </c>
      <c r="AE197">
        <f>VLOOKUP(F197,[4]ppr!$B:$E,4,FALSE)</f>
        <v>279.41468162531413</v>
      </c>
      <c r="AF197">
        <f>VLOOKUP(F197,[4]half_ppr!$B:$E,4,FALSE)</f>
        <v>279.41468162531413</v>
      </c>
      <c r="AG197">
        <f>VLOOKUP(F197,[4]std!$B:$E,4,FALSE)</f>
        <v>279.41468162531413</v>
      </c>
      <c r="AH197">
        <f>IFERROR(VLOOKUP(F197,[5]actual_week11_ppr_stats!$A:$B,2,FALSE),0)</f>
        <v>143.69999999999999</v>
      </c>
    </row>
    <row r="198" spans="1:34" x14ac:dyDescent="0.2">
      <c r="A198">
        <v>197</v>
      </c>
      <c r="B198">
        <v>22124</v>
      </c>
      <c r="C198" t="s">
        <v>226</v>
      </c>
      <c r="D198" t="str" cm="1">
        <f t="array" ref="D198:E198">_xlfn.TEXTSPLIT(C198, ", ")</f>
        <v>Hunter</v>
      </c>
      <c r="E198" t="str">
        <v>Jarquez</v>
      </c>
      <c r="F198" t="str">
        <f t="shared" si="51"/>
        <v>Jarquez Hunter</v>
      </c>
      <c r="G198" t="s">
        <v>35</v>
      </c>
      <c r="H198" t="s">
        <v>12</v>
      </c>
      <c r="I198">
        <v>211.97</v>
      </c>
      <c r="J198">
        <v>163</v>
      </c>
      <c r="K198">
        <v>239</v>
      </c>
      <c r="L198">
        <f>VLOOKUP(G198,byes!$A:$B,2,FALSE)</f>
        <v>8</v>
      </c>
      <c r="M198">
        <f t="shared" si="52"/>
        <v>0</v>
      </c>
      <c r="N198">
        <f t="shared" si="53"/>
        <v>0</v>
      </c>
      <c r="O198">
        <f t="shared" si="54"/>
        <v>0</v>
      </c>
      <c r="P198">
        <f t="shared" si="55"/>
        <v>1</v>
      </c>
      <c r="Q198">
        <f t="shared" si="56"/>
        <v>0</v>
      </c>
      <c r="R198">
        <f t="shared" si="57"/>
        <v>0</v>
      </c>
      <c r="S198">
        <f t="shared" si="58"/>
        <v>0</v>
      </c>
      <c r="T198">
        <f t="shared" si="59"/>
        <v>0</v>
      </c>
      <c r="U198">
        <f t="shared" si="60"/>
        <v>0</v>
      </c>
      <c r="V198">
        <f t="shared" si="61"/>
        <v>0</v>
      </c>
      <c r="W198">
        <f t="shared" si="62"/>
        <v>1</v>
      </c>
      <c r="X198">
        <f t="shared" si="63"/>
        <v>0</v>
      </c>
      <c r="Y198">
        <f t="shared" si="64"/>
        <v>0</v>
      </c>
      <c r="Z198">
        <f t="shared" si="65"/>
        <v>1</v>
      </c>
      <c r="AA198">
        <v>1</v>
      </c>
      <c r="AB198">
        <f>VLOOKUP(F198,[1]pff_ppr_projections!$B:$D,3,FALSE)</f>
        <v>37.799999999999997</v>
      </c>
      <c r="AC198" s="1">
        <f t="shared" si="68"/>
        <v>48.782533374782133</v>
      </c>
      <c r="AD198">
        <f>VLOOKUP(F198,[3]rotoballer_ppr_projections!$B:$G,6,FALSE)</f>
        <v>51</v>
      </c>
      <c r="AE198">
        <f>VLOOKUP(F198,[4]ppr!$B:$E,4,FALSE)</f>
        <v>57.54760012434641</v>
      </c>
      <c r="AF198">
        <f>VLOOKUP(F198,[4]half_ppr!$B:$E,4,FALSE)</f>
        <v>52.351890999308196</v>
      </c>
      <c r="AG198">
        <f>VLOOKUP(F198,[4]std!$B:$E,4,FALSE)</f>
        <v>47.15618187426999</v>
      </c>
      <c r="AH198">
        <f>IFERROR(VLOOKUP(F198,[5]actual_week11_ppr_stats!$A:$B,2,FALSE),0)</f>
        <v>0</v>
      </c>
    </row>
    <row r="199" spans="1:34" x14ac:dyDescent="0.2">
      <c r="A199">
        <v>198</v>
      </c>
      <c r="B199">
        <v>22120</v>
      </c>
      <c r="C199" t="s">
        <v>227</v>
      </c>
      <c r="D199" t="str" cm="1">
        <f t="array" ref="D199:E199">_xlfn.TEXTSPLIT(C199, ", ")</f>
        <v>Taylor</v>
      </c>
      <c r="E199" t="str">
        <v>Mason</v>
      </c>
      <c r="F199" t="str">
        <f t="shared" si="51"/>
        <v>Mason Taylor</v>
      </c>
      <c r="G199" t="s">
        <v>62</v>
      </c>
      <c r="H199" t="s">
        <v>47</v>
      </c>
      <c r="I199">
        <v>214.49</v>
      </c>
      <c r="J199">
        <v>135</v>
      </c>
      <c r="K199">
        <v>240</v>
      </c>
      <c r="L199">
        <f>VLOOKUP(G199,byes!$A:$B,2,FALSE)</f>
        <v>9</v>
      </c>
      <c r="M199">
        <f t="shared" si="52"/>
        <v>0</v>
      </c>
      <c r="N199">
        <f t="shared" si="53"/>
        <v>0</v>
      </c>
      <c r="O199">
        <f t="shared" si="54"/>
        <v>0</v>
      </c>
      <c r="P199">
        <f t="shared" si="55"/>
        <v>0</v>
      </c>
      <c r="Q199">
        <f t="shared" si="56"/>
        <v>1</v>
      </c>
      <c r="R199">
        <f t="shared" si="57"/>
        <v>0</v>
      </c>
      <c r="S199">
        <f t="shared" si="58"/>
        <v>0</v>
      </c>
      <c r="T199">
        <f t="shared" si="59"/>
        <v>0</v>
      </c>
      <c r="U199">
        <f t="shared" si="60"/>
        <v>0</v>
      </c>
      <c r="V199">
        <f t="shared" si="61"/>
        <v>0</v>
      </c>
      <c r="W199">
        <f t="shared" si="62"/>
        <v>0</v>
      </c>
      <c r="X199">
        <f t="shared" si="63"/>
        <v>0</v>
      </c>
      <c r="Y199">
        <f t="shared" si="64"/>
        <v>1</v>
      </c>
      <c r="Z199">
        <f t="shared" si="65"/>
        <v>1</v>
      </c>
      <c r="AA199">
        <v>1</v>
      </c>
      <c r="AB199">
        <f>VLOOKUP(F199,[1]pff_ppr_projections!$B:$D,3,FALSE)</f>
        <v>110.1</v>
      </c>
      <c r="AC199" s="1">
        <f t="shared" si="68"/>
        <v>123.3601856043186</v>
      </c>
      <c r="AD199">
        <f>VLOOKUP(F199,[3]rotoballer_ppr_projections!$B:$G,6,FALSE)</f>
        <v>106</v>
      </c>
      <c r="AE199">
        <f>VLOOKUP(F199,[4]ppr!$B:$E,4,FALSE)</f>
        <v>153.98055681295585</v>
      </c>
      <c r="AF199">
        <f>VLOOKUP(F199,[4]half_ppr!$B:$E,4,FALSE)</f>
        <v>123.51825239168527</v>
      </c>
      <c r="AG199">
        <f>VLOOKUP(F199,[4]std!$B:$E,4,FALSE)</f>
        <v>93.055947970414664</v>
      </c>
      <c r="AH199">
        <f>IFERROR(VLOOKUP(F199,[5]actual_week11_ppr_stats!$A:$B,2,FALSE),0)</f>
        <v>67.599999999999994</v>
      </c>
    </row>
    <row r="200" spans="1:34" x14ac:dyDescent="0.2">
      <c r="A200">
        <v>199</v>
      </c>
      <c r="B200">
        <v>20340</v>
      </c>
      <c r="C200" t="s">
        <v>228</v>
      </c>
      <c r="D200" t="str" cm="1">
        <f t="array" ref="D200:E200">_xlfn.TEXTSPLIT(C200, ", ")</f>
        <v>Wilson</v>
      </c>
      <c r="E200" t="str">
        <v>Michael</v>
      </c>
      <c r="F200" t="str">
        <f t="shared" si="51"/>
        <v>Michael Wilson</v>
      </c>
      <c r="G200" t="s">
        <v>55</v>
      </c>
      <c r="H200" t="s">
        <v>9</v>
      </c>
      <c r="I200">
        <v>215.33</v>
      </c>
      <c r="J200">
        <v>130</v>
      </c>
      <c r="K200">
        <v>240</v>
      </c>
      <c r="L200">
        <f>VLOOKUP(G200,byes!$A:$B,2,FALSE)</f>
        <v>8</v>
      </c>
      <c r="M200">
        <f t="shared" si="52"/>
        <v>0</v>
      </c>
      <c r="N200">
        <f t="shared" si="53"/>
        <v>0</v>
      </c>
      <c r="O200">
        <f t="shared" si="54"/>
        <v>0</v>
      </c>
      <c r="P200">
        <f t="shared" si="55"/>
        <v>1</v>
      </c>
      <c r="Q200">
        <f t="shared" si="56"/>
        <v>0</v>
      </c>
      <c r="R200">
        <f t="shared" si="57"/>
        <v>0</v>
      </c>
      <c r="S200">
        <f t="shared" si="58"/>
        <v>0</v>
      </c>
      <c r="T200">
        <f t="shared" si="59"/>
        <v>0</v>
      </c>
      <c r="U200">
        <f t="shared" si="60"/>
        <v>0</v>
      </c>
      <c r="V200">
        <f t="shared" si="61"/>
        <v>0</v>
      </c>
      <c r="W200">
        <f t="shared" si="62"/>
        <v>0</v>
      </c>
      <c r="X200">
        <f t="shared" si="63"/>
        <v>1</v>
      </c>
      <c r="Y200">
        <f t="shared" si="64"/>
        <v>0</v>
      </c>
      <c r="Z200">
        <f t="shared" si="65"/>
        <v>1</v>
      </c>
      <c r="AA200">
        <v>1</v>
      </c>
      <c r="AB200">
        <f>VLOOKUP(F200,[1]pff_ppr_projections!$B:$D,3,FALSE)</f>
        <v>139.30000000000001</v>
      </c>
      <c r="AC200" s="1">
        <f t="shared" si="68"/>
        <v>117.16103761138451</v>
      </c>
      <c r="AD200">
        <f>VLOOKUP(F200,[3]rotoballer_ppr_projections!$B:$G,6,FALSE)</f>
        <v>120</v>
      </c>
      <c r="AE200">
        <f>VLOOKUP(F200,[4]ppr!$B:$E,4,FALSE)</f>
        <v>92.183112834153519</v>
      </c>
      <c r="AF200">
        <f>VLOOKUP(F200,[4]half_ppr!$B:$E,4,FALSE)</f>
        <v>74.570748899466182</v>
      </c>
      <c r="AG200">
        <f>VLOOKUP(F200,[4]std!$B:$E,4,FALSE)</f>
        <v>56.958384964778844</v>
      </c>
      <c r="AH200">
        <f>IFERROR(VLOOKUP(F200,[5]actual_week11_ppr_stats!$A:$B,2,FALSE),0)</f>
        <v>84.6</v>
      </c>
    </row>
    <row r="201" spans="1:34" x14ac:dyDescent="0.2">
      <c r="A201">
        <v>200</v>
      </c>
      <c r="B201">
        <v>20310</v>
      </c>
      <c r="C201" t="s">
        <v>229</v>
      </c>
      <c r="D201" t="str" cm="1">
        <f t="array" ref="D201:E201">_xlfn.TEXTSPLIT(C201, ", ")</f>
        <v>Ward</v>
      </c>
      <c r="E201" t="str">
        <v>Cam</v>
      </c>
      <c r="F201" t="str">
        <f t="shared" si="51"/>
        <v>Cam Ward</v>
      </c>
      <c r="G201" t="s">
        <v>89</v>
      </c>
      <c r="H201" t="s">
        <v>57</v>
      </c>
      <c r="I201">
        <v>215.75</v>
      </c>
      <c r="J201">
        <v>148</v>
      </c>
      <c r="K201">
        <v>239</v>
      </c>
      <c r="L201">
        <f>VLOOKUP(G201,byes!$A:$B,2,FALSE)</f>
        <v>10</v>
      </c>
      <c r="M201">
        <f t="shared" si="52"/>
        <v>0</v>
      </c>
      <c r="N201">
        <f t="shared" si="53"/>
        <v>0</v>
      </c>
      <c r="O201">
        <f t="shared" si="54"/>
        <v>0</v>
      </c>
      <c r="P201">
        <f t="shared" si="55"/>
        <v>0</v>
      </c>
      <c r="Q201">
        <f t="shared" si="56"/>
        <v>0</v>
      </c>
      <c r="R201">
        <f t="shared" si="57"/>
        <v>1</v>
      </c>
      <c r="S201">
        <f t="shared" si="58"/>
        <v>0</v>
      </c>
      <c r="T201">
        <f t="shared" si="59"/>
        <v>0</v>
      </c>
      <c r="U201">
        <f t="shared" si="60"/>
        <v>0</v>
      </c>
      <c r="V201">
        <f t="shared" si="61"/>
        <v>1</v>
      </c>
      <c r="W201">
        <f t="shared" si="62"/>
        <v>0</v>
      </c>
      <c r="X201">
        <f t="shared" si="63"/>
        <v>0</v>
      </c>
      <c r="Y201">
        <f t="shared" si="64"/>
        <v>0</v>
      </c>
      <c r="Z201">
        <f t="shared" si="65"/>
        <v>0</v>
      </c>
      <c r="AA201">
        <f t="shared" si="67"/>
        <v>1</v>
      </c>
      <c r="AB201">
        <f>VLOOKUP(F201,[1]pff_ppr_projections!$B:$D,3,FALSE)</f>
        <v>242.3</v>
      </c>
      <c r="AC201" s="1">
        <f t="shared" si="68"/>
        <v>249.06994357371045</v>
      </c>
      <c r="AD201">
        <f>VLOOKUP(F201,[3]rotoballer_ppr_projections!$B:$G,6,FALSE)</f>
        <v>243</v>
      </c>
      <c r="AE201">
        <f>VLOOKUP(F201,[4]ppr!$B:$E,4,FALSE)</f>
        <v>261.90983072113136</v>
      </c>
      <c r="AF201">
        <f>VLOOKUP(F201,[4]half_ppr!$B:$E,4,FALSE)</f>
        <v>261.90983072113136</v>
      </c>
      <c r="AG201">
        <f>VLOOKUP(F201,[4]std!$B:$E,4,FALSE)</f>
        <v>261.90983072113136</v>
      </c>
      <c r="AH201">
        <f>IFERROR(VLOOKUP(F201,[5]actual_week11_ppr_stats!$A:$B,2,FALSE),0)</f>
        <v>104.1</v>
      </c>
    </row>
    <row r="202" spans="1:34" x14ac:dyDescent="0.2">
      <c r="A202">
        <v>201</v>
      </c>
      <c r="B202">
        <v>7697</v>
      </c>
      <c r="C202" t="s">
        <v>230</v>
      </c>
      <c r="D202" t="str" cm="1">
        <f t="array" ref="D202:E202">_xlfn.TEXTSPLIT(C202, ", ")</f>
        <v>Stafford</v>
      </c>
      <c r="E202" t="str">
        <v>Matthew</v>
      </c>
      <c r="F202" t="str">
        <f t="shared" si="51"/>
        <v>Matthew Stafford</v>
      </c>
      <c r="G202" t="s">
        <v>35</v>
      </c>
      <c r="H202" t="s">
        <v>57</v>
      </c>
      <c r="I202">
        <v>229.11</v>
      </c>
      <c r="J202">
        <v>167</v>
      </c>
      <c r="K202">
        <v>240</v>
      </c>
      <c r="L202">
        <f>VLOOKUP(G202,byes!$A:$B,2,FALSE)</f>
        <v>8</v>
      </c>
      <c r="M202">
        <f t="shared" si="52"/>
        <v>0</v>
      </c>
      <c r="N202">
        <f t="shared" si="53"/>
        <v>0</v>
      </c>
      <c r="O202">
        <f t="shared" si="54"/>
        <v>0</v>
      </c>
      <c r="P202">
        <f t="shared" si="55"/>
        <v>1</v>
      </c>
      <c r="Q202">
        <f t="shared" si="56"/>
        <v>0</v>
      </c>
      <c r="R202">
        <f t="shared" si="57"/>
        <v>0</v>
      </c>
      <c r="S202">
        <f t="shared" si="58"/>
        <v>0</v>
      </c>
      <c r="T202">
        <f t="shared" si="59"/>
        <v>0</v>
      </c>
      <c r="U202">
        <f t="shared" si="60"/>
        <v>0</v>
      </c>
      <c r="V202">
        <f t="shared" si="61"/>
        <v>1</v>
      </c>
      <c r="W202">
        <f t="shared" si="62"/>
        <v>0</v>
      </c>
      <c r="X202">
        <f t="shared" si="63"/>
        <v>0</v>
      </c>
      <c r="Y202">
        <f t="shared" si="64"/>
        <v>0</v>
      </c>
      <c r="Z202">
        <f t="shared" si="65"/>
        <v>0</v>
      </c>
      <c r="AA202">
        <v>1</v>
      </c>
      <c r="AB202">
        <f>VLOOKUP(F202,[1]pff_ppr_projections!$B:$D,3,FALSE)</f>
        <v>253.8</v>
      </c>
      <c r="AC202">
        <f>VLOOKUP(F202,[2]numberFire_ppr_projections!$A:$B,2,FALSE)</f>
        <v>275.10000000000002</v>
      </c>
      <c r="AD202">
        <f>VLOOKUP(F202,[3]rotoballer_ppr_projections!$B:$G,6,FALSE)</f>
        <v>243</v>
      </c>
      <c r="AE202">
        <f>VLOOKUP(F202,[4]ppr!$B:$E,4,FALSE)</f>
        <v>236.88977804227537</v>
      </c>
      <c r="AF202">
        <f>VLOOKUP(F202,[4]half_ppr!$B:$E,4,FALSE)</f>
        <v>236.88977804227537</v>
      </c>
      <c r="AG202">
        <f>VLOOKUP(F202,[4]std!$B:$E,4,FALSE)</f>
        <v>236.88977804227537</v>
      </c>
      <c r="AH202">
        <f>IFERROR(VLOOKUP(F202,[5]actual_week11_ppr_stats!$A:$B,2,FALSE),0)</f>
        <v>207.4</v>
      </c>
    </row>
    <row r="203" spans="1:34" x14ac:dyDescent="0.2">
      <c r="A203">
        <v>202</v>
      </c>
      <c r="B203">
        <v>16077</v>
      </c>
      <c r="C203" t="s">
        <v>231</v>
      </c>
      <c r="D203" t="str" cm="1">
        <f t="array" ref="D203:E203">_xlfn.TEXTSPLIT(C203, ", ")</f>
        <v>Darnold</v>
      </c>
      <c r="E203" t="str">
        <v>Sam</v>
      </c>
      <c r="F203" t="str">
        <f t="shared" si="51"/>
        <v>Sam Darnold</v>
      </c>
      <c r="G203" t="s">
        <v>51</v>
      </c>
      <c r="H203" t="s">
        <v>57</v>
      </c>
      <c r="I203">
        <v>233.15</v>
      </c>
      <c r="J203">
        <v>178</v>
      </c>
      <c r="K203">
        <v>240</v>
      </c>
      <c r="L203">
        <f>VLOOKUP(G203,byes!$A:$B,2,FALSE)</f>
        <v>8</v>
      </c>
      <c r="M203">
        <f t="shared" si="52"/>
        <v>0</v>
      </c>
      <c r="N203">
        <f t="shared" si="53"/>
        <v>0</v>
      </c>
      <c r="O203">
        <f t="shared" si="54"/>
        <v>0</v>
      </c>
      <c r="P203">
        <f t="shared" si="55"/>
        <v>1</v>
      </c>
      <c r="Q203">
        <f t="shared" si="56"/>
        <v>0</v>
      </c>
      <c r="R203">
        <f t="shared" si="57"/>
        <v>0</v>
      </c>
      <c r="S203">
        <f t="shared" si="58"/>
        <v>0</v>
      </c>
      <c r="T203">
        <f t="shared" si="59"/>
        <v>0</v>
      </c>
      <c r="U203">
        <f t="shared" si="60"/>
        <v>0</v>
      </c>
      <c r="V203">
        <f t="shared" si="61"/>
        <v>1</v>
      </c>
      <c r="W203">
        <f t="shared" si="62"/>
        <v>0</v>
      </c>
      <c r="X203">
        <f t="shared" si="63"/>
        <v>0</v>
      </c>
      <c r="Y203">
        <f t="shared" si="64"/>
        <v>0</v>
      </c>
      <c r="Z203">
        <f t="shared" si="65"/>
        <v>0</v>
      </c>
      <c r="AA203">
        <v>1</v>
      </c>
      <c r="AB203">
        <f>VLOOKUP(F203,[1]pff_ppr_projections!$B:$D,3,FALSE)</f>
        <v>254.8</v>
      </c>
      <c r="AC203">
        <f>VLOOKUP(F203,[2]numberFire_ppr_projections!$A:$B,2,FALSE)</f>
        <v>275.60000000000002</v>
      </c>
      <c r="AD203">
        <f>VLOOKUP(F203,[3]rotoballer_ppr_projections!$B:$G,6,FALSE)</f>
        <v>233</v>
      </c>
      <c r="AE203">
        <f>VLOOKUP(F203,[4]ppr!$B:$E,4,FALSE)</f>
        <v>282.39006651855999</v>
      </c>
      <c r="AF203">
        <f>VLOOKUP(F203,[4]half_ppr!$B:$E,4,FALSE)</f>
        <v>282.39006651855999</v>
      </c>
      <c r="AG203">
        <f>VLOOKUP(F203,[4]std!$B:$E,4,FALSE)</f>
        <v>282.39006651855999</v>
      </c>
      <c r="AH203">
        <f>IFERROR(VLOOKUP(F203,[5]actual_week11_ppr_stats!$A:$B,2,FALSE),0)</f>
        <v>164.6</v>
      </c>
    </row>
    <row r="204" spans="1:34" x14ac:dyDescent="0.2">
      <c r="A204">
        <v>203</v>
      </c>
      <c r="B204">
        <v>11818</v>
      </c>
      <c r="C204" t="s">
        <v>232</v>
      </c>
      <c r="D204" t="str" cm="1">
        <f t="array" ref="D204:E204">_xlfn.TEXTSPLIT(C204, ", ")</f>
        <v>Smith</v>
      </c>
      <c r="E204" t="str">
        <v>Geno</v>
      </c>
      <c r="F204" t="str">
        <f t="shared" si="51"/>
        <v>Geno Smith</v>
      </c>
      <c r="G204" t="s">
        <v>30</v>
      </c>
      <c r="H204" t="s">
        <v>57</v>
      </c>
      <c r="I204">
        <v>233.76</v>
      </c>
      <c r="J204">
        <v>175</v>
      </c>
      <c r="K204">
        <v>239</v>
      </c>
      <c r="L204">
        <f>VLOOKUP(G204,byes!$A:$B,2,FALSE)</f>
        <v>8</v>
      </c>
      <c r="M204">
        <f t="shared" si="52"/>
        <v>0</v>
      </c>
      <c r="N204">
        <f t="shared" si="53"/>
        <v>0</v>
      </c>
      <c r="O204">
        <f t="shared" si="54"/>
        <v>0</v>
      </c>
      <c r="P204">
        <f t="shared" si="55"/>
        <v>1</v>
      </c>
      <c r="Q204">
        <f t="shared" si="56"/>
        <v>0</v>
      </c>
      <c r="R204">
        <f t="shared" si="57"/>
        <v>0</v>
      </c>
      <c r="S204">
        <f t="shared" si="58"/>
        <v>0</v>
      </c>
      <c r="T204">
        <f t="shared" si="59"/>
        <v>0</v>
      </c>
      <c r="U204">
        <f t="shared" si="60"/>
        <v>0</v>
      </c>
      <c r="V204">
        <f t="shared" si="61"/>
        <v>1</v>
      </c>
      <c r="W204">
        <f t="shared" si="62"/>
        <v>0</v>
      </c>
      <c r="X204">
        <f t="shared" si="63"/>
        <v>0</v>
      </c>
      <c r="Y204">
        <f t="shared" si="64"/>
        <v>0</v>
      </c>
      <c r="Z204">
        <f t="shared" si="65"/>
        <v>0</v>
      </c>
      <c r="AA204">
        <v>1</v>
      </c>
      <c r="AB204">
        <f>VLOOKUP(F204,[1]pff_ppr_projections!$B:$D,3,FALSE)</f>
        <v>260.3</v>
      </c>
      <c r="AC204" s="1">
        <f>AVERAGE(AB204,AD204,AE204)</f>
        <v>264.02552263659379</v>
      </c>
      <c r="AD204">
        <f>VLOOKUP(F204,[3]rotoballer_ppr_projections!$B:$G,6,FALSE)</f>
        <v>248</v>
      </c>
      <c r="AE204">
        <f>VLOOKUP(F204,[4]ppr!$B:$E,4,FALSE)</f>
        <v>283.77656790978136</v>
      </c>
      <c r="AF204">
        <f>VLOOKUP(F204,[4]half_ppr!$B:$E,4,FALSE)</f>
        <v>283.77656790978136</v>
      </c>
      <c r="AG204">
        <f>VLOOKUP(F204,[4]std!$B:$E,4,FALSE)</f>
        <v>283.77656790978136</v>
      </c>
      <c r="AH204">
        <f>IFERROR(VLOOKUP(F204,[5]actual_week11_ppr_stats!$A:$B,2,FALSE),0)</f>
        <v>128.5</v>
      </c>
    </row>
    <row r="205" spans="1:34" x14ac:dyDescent="0.2">
      <c r="A205">
        <v>204</v>
      </c>
      <c r="B205">
        <v>22087</v>
      </c>
      <c r="C205" t="s">
        <v>233</v>
      </c>
      <c r="D205" t="str" cm="1">
        <f t="array" ref="D205:E205">_xlfn.TEXTSPLIT(C205, ", ")</f>
        <v>Dart</v>
      </c>
      <c r="E205" t="str">
        <v>Jaxson</v>
      </c>
      <c r="F205" t="str">
        <f t="shared" ref="F205:F209" si="69">_xlfn.REGEXREPLACE(E205 &amp; " " &amp; D205, "\.", "")</f>
        <v>Jaxson Dart</v>
      </c>
      <c r="G205" t="s">
        <v>24</v>
      </c>
      <c r="H205" t="s">
        <v>57</v>
      </c>
      <c r="I205">
        <v>239.44</v>
      </c>
      <c r="J205">
        <v>205</v>
      </c>
      <c r="K205">
        <v>240</v>
      </c>
      <c r="L205">
        <f>VLOOKUP(G205,byes!$A:$B,2,FALSE)</f>
        <v>14</v>
      </c>
      <c r="M205">
        <f t="shared" ref="M205:M209" si="70">IF(L205=5,1,0)</f>
        <v>0</v>
      </c>
      <c r="N205">
        <f t="shared" ref="N205:N209" si="71">IF(L205=6,1,0)</f>
        <v>0</v>
      </c>
      <c r="O205">
        <f t="shared" ref="O205:O209" si="72">IF(L205=7,1,0)</f>
        <v>0</v>
      </c>
      <c r="P205">
        <f t="shared" ref="P205:P209" si="73">IF(L205=8,1,0)</f>
        <v>0</v>
      </c>
      <c r="Q205">
        <f t="shared" ref="Q205:Q209" si="74">IF(L205=9,1,0)</f>
        <v>0</v>
      </c>
      <c r="R205">
        <f t="shared" ref="R205:R209" si="75">IF(L205=10,1,0)</f>
        <v>0</v>
      </c>
      <c r="S205">
        <f t="shared" ref="S205:S209" si="76">IF(L205=11,1,0)</f>
        <v>0</v>
      </c>
      <c r="T205">
        <f t="shared" ref="T205:T209" si="77">IF(L205=12,1,0)</f>
        <v>0</v>
      </c>
      <c r="U205">
        <f t="shared" ref="U205:U209" si="78">IF(L205=14,1,0)</f>
        <v>1</v>
      </c>
      <c r="V205">
        <f t="shared" ref="V205:V209" si="79">IF(H205="QB", 1, 0)</f>
        <v>1</v>
      </c>
      <c r="W205">
        <f t="shared" ref="W205:W209" si="80">IF(H205="RB",1,0)</f>
        <v>0</v>
      </c>
      <c r="X205">
        <f t="shared" ref="X205:X209" si="81">IF(H205="WR",1,0)</f>
        <v>0</v>
      </c>
      <c r="Y205">
        <f t="shared" ref="Y205:Y209" si="82">IF(H205="TE",1,0)</f>
        <v>0</v>
      </c>
      <c r="Z205">
        <f t="shared" ref="Z205:Z209" si="83">IF(OR(H205="RB",H205="WR",H205="TE"),1,0)</f>
        <v>0</v>
      </c>
      <c r="AA205">
        <f t="shared" si="67"/>
        <v>1</v>
      </c>
      <c r="AB205">
        <f>VLOOKUP(F205,[1]pff_ppr_projections!$B:$D,3,FALSE)</f>
        <v>54.9</v>
      </c>
      <c r="AC205" s="1">
        <f t="shared" ref="AC205:AC206" si="84">AVERAGE(AB205,AD205,AE205)</f>
        <v>58.600474674346664</v>
      </c>
      <c r="AD205">
        <f>VLOOKUP(F205,[3]rotoballer_ppr_projections!$B:$G,6,FALSE)</f>
        <v>50</v>
      </c>
      <c r="AE205">
        <f>VLOOKUP(F205,[4]ppr!$B:$E,4,FALSE)</f>
        <v>70.901424023040008</v>
      </c>
      <c r="AF205">
        <f>VLOOKUP(F205,[4]half_ppr!$B:$E,4,FALSE)</f>
        <v>70.901424023040008</v>
      </c>
      <c r="AG205">
        <f>VLOOKUP(F205,[4]std!$B:$E,4,FALSE)</f>
        <v>70.901424023040008</v>
      </c>
      <c r="AH205">
        <f>IFERROR(VLOOKUP(F205,[5]actual_week11_ppr_stats!$A:$B,2,FALSE),0)</f>
        <v>167.4</v>
      </c>
    </row>
    <row r="206" spans="1:34" x14ac:dyDescent="0.2">
      <c r="A206">
        <v>205</v>
      </c>
      <c r="B206">
        <v>5712</v>
      </c>
      <c r="C206" t="s">
        <v>234</v>
      </c>
      <c r="D206" t="str" cm="1">
        <f t="array" ref="D206:E206">_xlfn.TEXTSPLIT(C206, ", ")</f>
        <v>Rodgers</v>
      </c>
      <c r="E206" t="str">
        <v>Aaron</v>
      </c>
      <c r="F206" t="str">
        <f t="shared" si="69"/>
        <v>Aaron Rodgers</v>
      </c>
      <c r="G206" t="s">
        <v>82</v>
      </c>
      <c r="H206" t="s">
        <v>57</v>
      </c>
      <c r="I206">
        <v>240.07</v>
      </c>
      <c r="J206">
        <v>201</v>
      </c>
      <c r="K206">
        <v>239</v>
      </c>
      <c r="L206">
        <f>VLOOKUP(G206,byes!$A:$B,2,FALSE)</f>
        <v>5</v>
      </c>
      <c r="M206">
        <f t="shared" si="70"/>
        <v>1</v>
      </c>
      <c r="N206">
        <f t="shared" si="71"/>
        <v>0</v>
      </c>
      <c r="O206">
        <f t="shared" si="72"/>
        <v>0</v>
      </c>
      <c r="P206">
        <f t="shared" si="73"/>
        <v>0</v>
      </c>
      <c r="Q206">
        <f t="shared" si="74"/>
        <v>0</v>
      </c>
      <c r="R206">
        <f t="shared" si="75"/>
        <v>0</v>
      </c>
      <c r="S206">
        <f t="shared" si="76"/>
        <v>0</v>
      </c>
      <c r="T206">
        <f t="shared" si="77"/>
        <v>0</v>
      </c>
      <c r="U206">
        <f t="shared" si="78"/>
        <v>0</v>
      </c>
      <c r="V206">
        <f t="shared" si="79"/>
        <v>1</v>
      </c>
      <c r="W206">
        <f t="shared" si="80"/>
        <v>0</v>
      </c>
      <c r="X206">
        <f t="shared" si="81"/>
        <v>0</v>
      </c>
      <c r="Y206">
        <f t="shared" si="82"/>
        <v>0</v>
      </c>
      <c r="Z206">
        <f t="shared" si="83"/>
        <v>0</v>
      </c>
      <c r="AA206">
        <v>1</v>
      </c>
      <c r="AB206">
        <f>VLOOKUP(F206,[1]pff_ppr_projections!$B:$D,3,FALSE)</f>
        <v>254.1</v>
      </c>
      <c r="AC206" s="1">
        <f t="shared" si="84"/>
        <v>241.48796765927</v>
      </c>
      <c r="AD206">
        <f>VLOOKUP(F206,[3]rotoballer_ppr_projections!$B:$G,6,FALSE)</f>
        <v>222</v>
      </c>
      <c r="AE206">
        <f>VLOOKUP(F206,[4]ppr!$B:$E,4,FALSE)</f>
        <v>248.36390297780997</v>
      </c>
      <c r="AF206">
        <f>VLOOKUP(F206,[4]half_ppr!$B:$E,4,FALSE)</f>
        <v>248.36390297780997</v>
      </c>
      <c r="AG206">
        <f>VLOOKUP(F206,[4]std!$B:$E,4,FALSE)</f>
        <v>248.36390297780997</v>
      </c>
      <c r="AH206">
        <f>IFERROR(VLOOKUP(F206,[5]actual_week11_ppr_stats!$A:$B,2,FALSE),0)</f>
        <v>150.4</v>
      </c>
    </row>
    <row r="207" spans="1:34" x14ac:dyDescent="0.2">
      <c r="A207">
        <v>206</v>
      </c>
      <c r="B207">
        <v>20294</v>
      </c>
      <c r="C207" t="s">
        <v>235</v>
      </c>
      <c r="D207" t="str" cm="1">
        <f t="array" ref="D207:E207">_xlfn.TEXTSPLIT(C207, ", ")</f>
        <v>Richardson</v>
      </c>
      <c r="E207" t="str">
        <v>Anthony</v>
      </c>
      <c r="F207" t="str">
        <f t="shared" si="69"/>
        <v>Anthony Richardson</v>
      </c>
      <c r="G207" t="s">
        <v>43</v>
      </c>
      <c r="H207" t="s">
        <v>57</v>
      </c>
      <c r="I207">
        <v>240.3</v>
      </c>
      <c r="J207">
        <v>210</v>
      </c>
      <c r="K207">
        <v>229</v>
      </c>
      <c r="L207">
        <f>VLOOKUP(G207,byes!$A:$B,2,FALSE)</f>
        <v>11</v>
      </c>
      <c r="M207">
        <f t="shared" si="70"/>
        <v>0</v>
      </c>
      <c r="N207">
        <f t="shared" si="71"/>
        <v>0</v>
      </c>
      <c r="O207">
        <f t="shared" si="72"/>
        <v>0</v>
      </c>
      <c r="P207">
        <f t="shared" si="73"/>
        <v>0</v>
      </c>
      <c r="Q207">
        <f t="shared" si="74"/>
        <v>0</v>
      </c>
      <c r="R207">
        <f t="shared" si="75"/>
        <v>0</v>
      </c>
      <c r="S207">
        <f t="shared" si="76"/>
        <v>1</v>
      </c>
      <c r="T207">
        <f t="shared" si="77"/>
        <v>0</v>
      </c>
      <c r="U207">
        <f t="shared" si="78"/>
        <v>0</v>
      </c>
      <c r="V207">
        <f t="shared" si="79"/>
        <v>1</v>
      </c>
      <c r="W207">
        <f t="shared" si="80"/>
        <v>0</v>
      </c>
      <c r="X207">
        <f t="shared" si="81"/>
        <v>0</v>
      </c>
      <c r="Y207">
        <f t="shared" si="82"/>
        <v>0</v>
      </c>
      <c r="Z207">
        <f t="shared" si="83"/>
        <v>0</v>
      </c>
      <c r="AA207">
        <v>1</v>
      </c>
      <c r="AB207">
        <f>VLOOKUP(F207,[1]pff_ppr_projections!$B:$D,3,FALSE)</f>
        <v>237.2</v>
      </c>
      <c r="AC207">
        <f>VLOOKUP(F207,[2]numberFire_ppr_projections!$A:$B,2,FALSE)</f>
        <v>293.5</v>
      </c>
      <c r="AD207">
        <f>VLOOKUP(F207,[3]rotoballer_ppr_projections!$B:$G,6,FALSE)</f>
        <v>51</v>
      </c>
      <c r="AE207">
        <f>VLOOKUP(F207,[4]ppr!$B:$E,4,FALSE)</f>
        <v>113.61354353207437</v>
      </c>
      <c r="AF207">
        <f>VLOOKUP(F207,[4]half_ppr!$B:$E,4,FALSE)</f>
        <v>113.61354353207437</v>
      </c>
      <c r="AG207">
        <f>VLOOKUP(F207,[4]std!$B:$E,4,FALSE)</f>
        <v>113.61354353207437</v>
      </c>
      <c r="AH207">
        <f>IFERROR(VLOOKUP(F207,[5]actual_week11_ppr_stats!$A:$B,2,FALSE),0)</f>
        <v>0.3</v>
      </c>
    </row>
    <row r="208" spans="1:34" x14ac:dyDescent="0.2">
      <c r="A208">
        <v>207</v>
      </c>
      <c r="B208">
        <v>17008</v>
      </c>
      <c r="C208" t="s">
        <v>236</v>
      </c>
      <c r="D208" t="str" cm="1">
        <f t="array" ref="D208:E208">_xlfn.TEXTSPLIT(C208, ", ")</f>
        <v>Jones</v>
      </c>
      <c r="E208" t="str">
        <v>Daniel</v>
      </c>
      <c r="F208" t="str">
        <f t="shared" si="69"/>
        <v>Daniel Jones</v>
      </c>
      <c r="G208" t="s">
        <v>43</v>
      </c>
      <c r="H208" t="s">
        <v>57</v>
      </c>
      <c r="I208">
        <v>240.43</v>
      </c>
      <c r="J208">
        <v>229</v>
      </c>
      <c r="K208">
        <v>237</v>
      </c>
      <c r="L208">
        <f>VLOOKUP(G208,byes!$A:$B,2,FALSE)</f>
        <v>11</v>
      </c>
      <c r="M208">
        <f t="shared" si="70"/>
        <v>0</v>
      </c>
      <c r="N208">
        <f t="shared" si="71"/>
        <v>0</v>
      </c>
      <c r="O208">
        <f t="shared" si="72"/>
        <v>0</v>
      </c>
      <c r="P208">
        <f t="shared" si="73"/>
        <v>0</v>
      </c>
      <c r="Q208">
        <f t="shared" si="74"/>
        <v>0</v>
      </c>
      <c r="R208">
        <f t="shared" si="75"/>
        <v>0</v>
      </c>
      <c r="S208">
        <f t="shared" si="76"/>
        <v>1</v>
      </c>
      <c r="T208">
        <f t="shared" si="77"/>
        <v>0</v>
      </c>
      <c r="U208">
        <f t="shared" si="78"/>
        <v>0</v>
      </c>
      <c r="V208">
        <f t="shared" si="79"/>
        <v>1</v>
      </c>
      <c r="W208">
        <f t="shared" si="80"/>
        <v>0</v>
      </c>
      <c r="X208">
        <f t="shared" si="81"/>
        <v>0</v>
      </c>
      <c r="Y208">
        <f t="shared" si="82"/>
        <v>0</v>
      </c>
      <c r="Z208">
        <f t="shared" si="83"/>
        <v>0</v>
      </c>
      <c r="AA208">
        <v>1</v>
      </c>
      <c r="AB208">
        <f>VLOOKUP(F208,[1]pff_ppr_projections!$B:$D,3,FALSE)</f>
        <v>69.099999999999994</v>
      </c>
      <c r="AC208" s="1">
        <f>AVERAGE(AB208,AD208,AE208)</f>
        <v>157.38671887240696</v>
      </c>
      <c r="AD208">
        <f>VLOOKUP(F208,[3]rotoballer_ppr_projections!$B:$G,6,FALSE)</f>
        <v>221</v>
      </c>
      <c r="AE208">
        <f>VLOOKUP(F208,[4]ppr!$B:$E,4,FALSE)</f>
        <v>182.06015661722085</v>
      </c>
      <c r="AF208">
        <f>VLOOKUP(F208,[4]half_ppr!$B:$E,4,FALSE)</f>
        <v>182.06015661722085</v>
      </c>
      <c r="AG208">
        <f>VLOOKUP(F208,[4]std!$B:$E,4,FALSE)</f>
        <v>182.06015661722085</v>
      </c>
      <c r="AH208">
        <f>IFERROR(VLOOKUP(F208,[5]actual_week11_ppr_stats!$A:$B,2,FALSE),0)</f>
        <v>203.7</v>
      </c>
    </row>
    <row r="209" spans="1:34" x14ac:dyDescent="0.2">
      <c r="A209">
        <v>208</v>
      </c>
      <c r="B209">
        <v>7090</v>
      </c>
      <c r="C209" t="s">
        <v>237</v>
      </c>
      <c r="D209" t="str" cm="1">
        <f t="array" ref="D209:E209">_xlfn.TEXTSPLIT(C209, ", ")</f>
        <v>Flacco</v>
      </c>
      <c r="E209" t="str">
        <v>Joe</v>
      </c>
      <c r="F209" t="str">
        <f t="shared" si="69"/>
        <v>Joe Flacco</v>
      </c>
      <c r="G209" t="s">
        <v>8</v>
      </c>
      <c r="H209" t="s">
        <v>57</v>
      </c>
      <c r="I209">
        <v>240.6</v>
      </c>
      <c r="J209">
        <v>226</v>
      </c>
      <c r="K209">
        <v>240</v>
      </c>
      <c r="L209">
        <f>VLOOKUP(G209,byes!$A:$B,2,FALSE)</f>
        <v>10</v>
      </c>
      <c r="M209">
        <f t="shared" si="70"/>
        <v>0</v>
      </c>
      <c r="N209">
        <f t="shared" si="71"/>
        <v>0</v>
      </c>
      <c r="O209">
        <f t="shared" si="72"/>
        <v>0</v>
      </c>
      <c r="P209">
        <f t="shared" si="73"/>
        <v>0</v>
      </c>
      <c r="Q209">
        <f t="shared" si="74"/>
        <v>0</v>
      </c>
      <c r="R209">
        <f t="shared" si="75"/>
        <v>1</v>
      </c>
      <c r="S209">
        <f t="shared" si="76"/>
        <v>0</v>
      </c>
      <c r="T209">
        <f t="shared" si="77"/>
        <v>0</v>
      </c>
      <c r="U209">
        <f t="shared" si="78"/>
        <v>0</v>
      </c>
      <c r="V209">
        <f t="shared" si="79"/>
        <v>1</v>
      </c>
      <c r="W209">
        <f t="shared" si="80"/>
        <v>0</v>
      </c>
      <c r="X209">
        <f t="shared" si="81"/>
        <v>0</v>
      </c>
      <c r="Y209">
        <f t="shared" si="82"/>
        <v>0</v>
      </c>
      <c r="Z209">
        <f t="shared" si="83"/>
        <v>0</v>
      </c>
      <c r="AA209">
        <f t="shared" si="67"/>
        <v>1</v>
      </c>
      <c r="AB209">
        <f>VLOOKUP(F209,[1]pff_ppr_projections!$B:$D,3,FALSE)</f>
        <v>34.700000000000003</v>
      </c>
      <c r="AC209" s="1">
        <f>AVERAGE(AB209,AD209,AE209)</f>
        <v>104.76845302666668</v>
      </c>
      <c r="AD209">
        <f>VLOOKUP(F209,[3]rotoballer_ppr_projections!$B:$G,6,FALSE)</f>
        <v>135</v>
      </c>
      <c r="AE209">
        <f>VLOOKUP(F209,[4]ppr!$B:$E,4,FALSE)</f>
        <v>144.60535908000003</v>
      </c>
      <c r="AF209">
        <f>VLOOKUP(F209,[4]half_ppr!$B:$E,4,FALSE)</f>
        <v>144.60535908000003</v>
      </c>
      <c r="AG209">
        <f>VLOOKUP(F209,[4]std!$B:$E,4,FALSE)</f>
        <v>144.60535908000003</v>
      </c>
      <c r="AH209">
        <f>IFERROR(VLOOKUP(F209,[5]actual_week11_ppr_stats!$A:$B,2,FALSE),0)</f>
        <v>146.5</v>
      </c>
    </row>
  </sheetData>
  <autoFilter ref="A1:AH209" xr:uid="{44B61DA5-B46F-D54D-990E-90DC71C9AF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51DE-3219-C447-B1B3-6D87861DE87E}">
  <dimension ref="A1:B33"/>
  <sheetViews>
    <sheetView workbookViewId="0">
      <selection activeCell="B27" sqref="B27"/>
    </sheetView>
  </sheetViews>
  <sheetFormatPr baseColWidth="10" defaultRowHeight="16" x14ac:dyDescent="0.2"/>
  <sheetData>
    <row r="1" spans="1:2" x14ac:dyDescent="0.2">
      <c r="A1" t="s">
        <v>3</v>
      </c>
      <c r="B1" t="s">
        <v>238</v>
      </c>
    </row>
    <row r="2" spans="1:2" x14ac:dyDescent="0.2">
      <c r="A2" t="s">
        <v>11</v>
      </c>
      <c r="B2">
        <v>5</v>
      </c>
    </row>
    <row r="3" spans="1:2" x14ac:dyDescent="0.2">
      <c r="A3" t="s">
        <v>86</v>
      </c>
      <c r="B3">
        <v>5</v>
      </c>
    </row>
    <row r="4" spans="1:2" x14ac:dyDescent="0.2">
      <c r="A4" t="s">
        <v>40</v>
      </c>
      <c r="B4">
        <v>5</v>
      </c>
    </row>
    <row r="5" spans="1:2" x14ac:dyDescent="0.2">
      <c r="A5" t="s">
        <v>82</v>
      </c>
      <c r="B5">
        <v>5</v>
      </c>
    </row>
    <row r="6" spans="1:2" x14ac:dyDescent="0.2">
      <c r="A6" t="s">
        <v>28</v>
      </c>
      <c r="B6">
        <v>6</v>
      </c>
    </row>
    <row r="7" spans="1:2" x14ac:dyDescent="0.2">
      <c r="A7" t="s">
        <v>20</v>
      </c>
      <c r="B7">
        <v>6</v>
      </c>
    </row>
    <row r="8" spans="1:2" x14ac:dyDescent="0.2">
      <c r="A8" t="s">
        <v>33</v>
      </c>
      <c r="B8">
        <v>7</v>
      </c>
    </row>
    <row r="9" spans="1:2" x14ac:dyDescent="0.2">
      <c r="A9" t="s">
        <v>60</v>
      </c>
      <c r="B9">
        <v>7</v>
      </c>
    </row>
    <row r="10" spans="1:2" x14ac:dyDescent="0.2">
      <c r="A10" t="s">
        <v>55</v>
      </c>
      <c r="B10">
        <v>8</v>
      </c>
    </row>
    <row r="11" spans="1:2" x14ac:dyDescent="0.2">
      <c r="A11" t="s">
        <v>14</v>
      </c>
      <c r="B11">
        <v>8</v>
      </c>
    </row>
    <row r="12" spans="1:2" x14ac:dyDescent="0.2">
      <c r="A12" t="s">
        <v>26</v>
      </c>
      <c r="B12">
        <v>8</v>
      </c>
    </row>
    <row r="13" spans="1:2" x14ac:dyDescent="0.2">
      <c r="A13" t="s">
        <v>30</v>
      </c>
      <c r="B13">
        <v>8</v>
      </c>
    </row>
    <row r="14" spans="1:2" x14ac:dyDescent="0.2">
      <c r="A14" t="s">
        <v>35</v>
      </c>
      <c r="B14">
        <v>8</v>
      </c>
    </row>
    <row r="15" spans="1:2" x14ac:dyDescent="0.2">
      <c r="A15" t="s">
        <v>51</v>
      </c>
      <c r="B15">
        <v>8</v>
      </c>
    </row>
    <row r="16" spans="1:2" x14ac:dyDescent="0.2">
      <c r="A16" t="s">
        <v>102</v>
      </c>
      <c r="B16">
        <v>9</v>
      </c>
    </row>
    <row r="17" spans="1:2" x14ac:dyDescent="0.2">
      <c r="A17" t="s">
        <v>62</v>
      </c>
      <c r="B17">
        <v>9</v>
      </c>
    </row>
    <row r="18" spans="1:2" x14ac:dyDescent="0.2">
      <c r="A18" t="s">
        <v>18</v>
      </c>
      <c r="B18">
        <v>9</v>
      </c>
    </row>
    <row r="19" spans="1:2" x14ac:dyDescent="0.2">
      <c r="A19" t="s">
        <v>45</v>
      </c>
      <c r="B19">
        <v>9</v>
      </c>
    </row>
    <row r="20" spans="1:2" x14ac:dyDescent="0.2">
      <c r="A20" t="s">
        <v>8</v>
      </c>
      <c r="B20">
        <v>10</v>
      </c>
    </row>
    <row r="21" spans="1:2" x14ac:dyDescent="0.2">
      <c r="A21" t="s">
        <v>16</v>
      </c>
      <c r="B21">
        <v>10</v>
      </c>
    </row>
    <row r="22" spans="1:2" x14ac:dyDescent="0.2">
      <c r="A22" t="s">
        <v>75</v>
      </c>
      <c r="B22">
        <v>10</v>
      </c>
    </row>
    <row r="23" spans="1:2" x14ac:dyDescent="0.2">
      <c r="A23" t="s">
        <v>89</v>
      </c>
      <c r="B23">
        <v>10</v>
      </c>
    </row>
    <row r="24" spans="1:2" x14ac:dyDescent="0.2">
      <c r="A24" t="s">
        <v>43</v>
      </c>
      <c r="B24">
        <v>11</v>
      </c>
    </row>
    <row r="25" spans="1:2" x14ac:dyDescent="0.2">
      <c r="A25" t="s">
        <v>84</v>
      </c>
      <c r="B25">
        <v>11</v>
      </c>
    </row>
    <row r="26" spans="1:2" x14ac:dyDescent="0.2">
      <c r="A26" t="s">
        <v>79</v>
      </c>
      <c r="B26">
        <v>12</v>
      </c>
    </row>
    <row r="27" spans="1:2" x14ac:dyDescent="0.2">
      <c r="A27" t="s">
        <v>49</v>
      </c>
      <c r="B27">
        <v>12</v>
      </c>
    </row>
    <row r="28" spans="1:2" x14ac:dyDescent="0.2">
      <c r="A28" t="s">
        <v>38</v>
      </c>
      <c r="B28">
        <v>12</v>
      </c>
    </row>
    <row r="29" spans="1:2" x14ac:dyDescent="0.2">
      <c r="A29" t="s">
        <v>71</v>
      </c>
      <c r="B29">
        <v>12</v>
      </c>
    </row>
    <row r="30" spans="1:2" x14ac:dyDescent="0.2">
      <c r="A30" t="s">
        <v>68</v>
      </c>
      <c r="B30">
        <v>14</v>
      </c>
    </row>
    <row r="31" spans="1:2" x14ac:dyDescent="0.2">
      <c r="A31" t="s">
        <v>64</v>
      </c>
      <c r="B31">
        <v>14</v>
      </c>
    </row>
    <row r="32" spans="1:2" x14ac:dyDescent="0.2">
      <c r="A32" t="s">
        <v>24</v>
      </c>
      <c r="B32">
        <v>14</v>
      </c>
    </row>
    <row r="33" spans="1:2" x14ac:dyDescent="0.2">
      <c r="A33" t="s">
        <v>22</v>
      </c>
      <c r="B3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byes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William Norman</dc:creator>
  <cp:lastModifiedBy>Jacob William Norman</cp:lastModifiedBy>
  <dcterms:created xsi:type="dcterms:W3CDTF">2025-11-19T02:37:29Z</dcterms:created>
  <dcterms:modified xsi:type="dcterms:W3CDTF">2025-11-22T02:47:30Z</dcterms:modified>
</cp:coreProperties>
</file>